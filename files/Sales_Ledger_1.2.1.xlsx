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omments1.xml" ContentType="application/vnd.openxmlformats-officedocument.spreadsheetml.comments+xml"/>
  <Override PartName="/xl/tables/table2.xml" ContentType="application/vnd.openxmlformats-officedocument.spreadsheetml.table+xml"/>
  <Override PartName="/xl/tables/table3.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D:\Codes\Projects\Medical_Supplier\files\"/>
    </mc:Choice>
  </mc:AlternateContent>
  <xr:revisionPtr revIDLastSave="0" documentId="8_{D19B9925-51B9-40D4-848E-89C507B670CE}" xr6:coauthVersionLast="47" xr6:coauthVersionMax="47" xr10:uidLastSave="{00000000-0000-0000-0000-000000000000}"/>
  <bookViews>
    <workbookView xWindow="1905" yWindow="1905" windowWidth="21600" windowHeight="11235" tabRatio="500" firstSheet="6" activeTab="8" xr2:uid="{00000000-000D-0000-FFFF-FFFF00000000}"/>
  </bookViews>
  <sheets>
    <sheet name="Sales Statement" sheetId="1" r:id="rId1"/>
    <sheet name="Products Delivery" sheetId="2" r:id="rId2"/>
    <sheet name="ARK Hospital" sheetId="3" r:id="rId3"/>
    <sheet name="Bismillah Surgical" sheetId="4" r:id="rId4"/>
    <sheet name="Popular Medcine &amp; Departmental " sheetId="5" r:id="rId5"/>
    <sheet name="Kuwait Moitri Hospital" sheetId="6" r:id="rId6"/>
    <sheet name="VIP PHARMA-HAZI PHARMA" sheetId="7" r:id="rId7"/>
    <sheet name="Mr. Afjal" sheetId="8" r:id="rId8"/>
    <sheet name="AR Medi Corporation" sheetId="9" r:id="rId9"/>
    <sheet name="SG Pharma Shamoly" sheetId="10" r:id="rId10"/>
    <sheet name="Onima Medical" sheetId="11" r:id="rId11"/>
    <sheet name="Rahman Pharma" sheetId="12" r:id="rId12"/>
    <sheet name="Norshingdi Pharma" sheetId="13" r:id="rId13"/>
    <sheet name="MA Pharmacy" sheetId="14" r:id="rId14"/>
    <sheet name="Life Surgical" sheetId="15" r:id="rId15"/>
    <sheet name="Chittagong Healthcare" sheetId="16" r:id="rId16"/>
    <sheet name="Happy Life Pharmacy" sheetId="17" r:id="rId17"/>
    <sheet name="Royal Medical" sheetId="18" r:id="rId18"/>
    <sheet name="USB Hospital Uttara" sheetId="19" r:id="rId19"/>
    <sheet name="Asha International" sheetId="20" r:id="rId20"/>
    <sheet name="Star Surgical" sheetId="21" r:id="rId21"/>
    <sheet name="Sylhet Pharma" sheetId="22" r:id="rId22"/>
    <sheet name="Bulbul Surgical" sheetId="23" r:id="rId23"/>
    <sheet name="Suzon Pharma (Rang)" sheetId="24" r:id="rId24"/>
    <sheet name="SH Pharma" sheetId="25" r:id="rId25"/>
    <sheet name="Mymen. Sayem Diagnostic Center" sheetId="26" r:id="rId26"/>
    <sheet name="Mitfort Hospital" sheetId="27" r:id="rId27"/>
    <sheet name="Sonu Pharma" sheetId="30" r:id="rId28"/>
    <sheet name="Insaf Baraka Foundation" sheetId="31" r:id="rId29"/>
    <sheet name="Data" sheetId="28" r:id="rId30"/>
    <sheet name="Item Mapping" sheetId="29" r:id="rId31"/>
  </sheets>
  <definedNames>
    <definedName name="_xlnm._FilterDatabase" localSheetId="9" hidden="1">'SG Pharma Shamoly'!$C$4:$K$7</definedName>
  </definedNames>
  <calcPr calcId="191029"/>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H16" i="9" l="1"/>
  <c r="J15" i="25"/>
  <c r="I15" i="25"/>
  <c r="O7" i="14"/>
  <c r="N9" i="11"/>
  <c r="M7" i="10"/>
  <c r="H9" i="9"/>
  <c r="G9" i="9"/>
  <c r="N14" i="8"/>
  <c r="N10" i="8"/>
  <c r="I10" i="8"/>
  <c r="I14" i="8"/>
  <c r="H14" i="8"/>
  <c r="J7" i="21"/>
  <c r="J8" i="21"/>
  <c r="M16" i="13"/>
  <c r="N7" i="26"/>
  <c r="O10" i="24"/>
  <c r="H7" i="26"/>
  <c r="N15" i="25"/>
  <c r="N8" i="25"/>
  <c r="H15" i="25"/>
  <c r="H8" i="25" l="1"/>
  <c r="L8" i="25" s="1"/>
  <c r="I8" i="25"/>
  <c r="N9" i="21"/>
  <c r="I9" i="21"/>
  <c r="H9" i="21"/>
  <c r="I10" i="24"/>
  <c r="J10" i="24"/>
  <c r="H15" i="5"/>
  <c r="H9" i="5"/>
  <c r="M25" i="3"/>
  <c r="N9" i="17"/>
  <c r="H9" i="17"/>
  <c r="L9" i="17" s="1"/>
  <c r="I16" i="17"/>
  <c r="I7" i="19"/>
  <c r="N7" i="19"/>
  <c r="H7" i="19"/>
  <c r="H8" i="7"/>
  <c r="I8" i="7"/>
  <c r="I9" i="6"/>
  <c r="H9" i="6"/>
  <c r="L9" i="6" s="1"/>
  <c r="G21" i="5"/>
  <c r="G15" i="5"/>
  <c r="G9" i="5"/>
  <c r="G13" i="4"/>
  <c r="H13" i="4"/>
  <c r="M13" i="4"/>
  <c r="I7" i="14"/>
  <c r="G25" i="3"/>
  <c r="G18" i="3"/>
  <c r="G8" i="3"/>
  <c r="L7" i="17" l="1"/>
  <c r="L6" i="17"/>
  <c r="J5" i="20"/>
  <c r="O8" i="12" l="1"/>
  <c r="H9" i="11"/>
  <c r="G7" i="10"/>
  <c r="K21" i="5"/>
  <c r="K9" i="5"/>
  <c r="G16" i="13"/>
  <c r="H16" i="13"/>
  <c r="G11" i="13"/>
  <c r="G7" i="13"/>
  <c r="L8" i="22"/>
  <c r="J8" i="22"/>
  <c r="H8" i="22"/>
  <c r="M19" i="2" l="1"/>
  <c r="L19" i="2"/>
  <c r="Q35" i="1"/>
  <c r="R24" i="1"/>
  <c r="R25" i="1"/>
  <c r="R26" i="1"/>
  <c r="R27" i="1"/>
  <c r="R28" i="1"/>
  <c r="R29" i="1"/>
  <c r="R30" i="1"/>
  <c r="R9" i="1"/>
  <c r="R10" i="1"/>
  <c r="R11" i="1"/>
  <c r="R13" i="1"/>
  <c r="R14" i="1"/>
  <c r="R15" i="1"/>
  <c r="R16" i="1"/>
  <c r="R17" i="1"/>
  <c r="R18" i="1"/>
  <c r="R19" i="1"/>
  <c r="R20" i="1"/>
  <c r="R21" i="1"/>
  <c r="R22" i="1"/>
  <c r="R23" i="1"/>
  <c r="R7" i="1"/>
  <c r="R6" i="1"/>
  <c r="P8" i="1"/>
  <c r="P35" i="1" s="1"/>
  <c r="I20" i="5"/>
  <c r="I19" i="5"/>
  <c r="I21" i="5" s="1"/>
  <c r="R8" i="1" l="1"/>
  <c r="R35" i="1" s="1"/>
  <c r="J6" i="21"/>
  <c r="J9" i="21" s="1"/>
  <c r="L6" i="23"/>
  <c r="I7" i="23" l="1"/>
  <c r="K15" i="27" l="1"/>
  <c r="K12" i="27"/>
  <c r="K13" i="27"/>
  <c r="J15" i="27"/>
  <c r="J12" i="27"/>
  <c r="J13" i="27"/>
  <c r="I15" i="27"/>
  <c r="L15" i="27" s="1"/>
  <c r="I12" i="27"/>
  <c r="L12" i="27" s="1"/>
  <c r="I13" i="27"/>
  <c r="L13" i="27" s="1"/>
  <c r="K16" i="27"/>
  <c r="J16" i="27"/>
  <c r="I16" i="27"/>
  <c r="L16" i="27" s="1"/>
  <c r="K8" i="27"/>
  <c r="K9" i="27"/>
  <c r="K10" i="27"/>
  <c r="K11" i="27"/>
  <c r="K14" i="27"/>
  <c r="K7" i="27"/>
  <c r="J8" i="27"/>
  <c r="J9" i="27"/>
  <c r="J10" i="27"/>
  <c r="J11" i="27"/>
  <c r="J14" i="27"/>
  <c r="J7" i="27"/>
  <c r="I8" i="27"/>
  <c r="I9" i="27"/>
  <c r="I10" i="27"/>
  <c r="I11" i="27"/>
  <c r="L11" i="27" s="1"/>
  <c r="I14" i="27"/>
  <c r="L14" i="27" s="1"/>
  <c r="I7" i="27"/>
  <c r="L7" i="27" s="1"/>
  <c r="G17" i="27"/>
  <c r="L10" i="27" l="1"/>
  <c r="L8" i="27"/>
  <c r="L9" i="27"/>
  <c r="K17" i="27"/>
  <c r="N17" i="27" l="1"/>
  <c r="J30" i="1"/>
  <c r="F65" i="28"/>
  <c r="E37" i="28"/>
  <c r="C37" i="28"/>
  <c r="D37" i="28"/>
  <c r="E71" i="28" l="1"/>
  <c r="D71" i="28"/>
  <c r="C71" i="28"/>
  <c r="F71" i="28" s="1"/>
  <c r="E70" i="28"/>
  <c r="D70" i="28"/>
  <c r="C70" i="28"/>
  <c r="F70" i="28" s="1"/>
  <c r="E69" i="28"/>
  <c r="D69" i="28"/>
  <c r="C69" i="28"/>
  <c r="F69" i="28" s="1"/>
  <c r="E68" i="28"/>
  <c r="D68" i="28"/>
  <c r="C68" i="28"/>
  <c r="F68" i="28" s="1"/>
  <c r="E67" i="28"/>
  <c r="D67" i="28"/>
  <c r="C67" i="28"/>
  <c r="F67" i="28" s="1"/>
  <c r="E66" i="28"/>
  <c r="D66" i="28"/>
  <c r="C66" i="28"/>
  <c r="F66" i="28" s="1"/>
  <c r="E65" i="28"/>
  <c r="D65" i="28"/>
  <c r="C65" i="28"/>
  <c r="E64" i="28"/>
  <c r="D64" i="28"/>
  <c r="C64" i="28"/>
  <c r="F64" i="28" s="1"/>
  <c r="E63" i="28"/>
  <c r="D63" i="28"/>
  <c r="C63" i="28"/>
  <c r="F63" i="28" s="1"/>
  <c r="E62" i="28"/>
  <c r="D62" i="28"/>
  <c r="C62" i="28"/>
  <c r="F62" i="28" s="1"/>
  <c r="E61" i="28"/>
  <c r="D61" i="28"/>
  <c r="C61" i="28"/>
  <c r="F61" i="28" s="1"/>
  <c r="E60" i="28"/>
  <c r="D60" i="28"/>
  <c r="C60" i="28"/>
  <c r="F60" i="28" s="1"/>
  <c r="E59" i="28"/>
  <c r="D59" i="28"/>
  <c r="C59" i="28"/>
  <c r="F59" i="28" s="1"/>
  <c r="E58" i="28"/>
  <c r="D58" i="28"/>
  <c r="C58" i="28"/>
  <c r="F58" i="28" s="1"/>
  <c r="E57" i="28"/>
  <c r="D57" i="28"/>
  <c r="C57" i="28"/>
  <c r="F57" i="28" s="1"/>
  <c r="E56" i="28"/>
  <c r="D56" i="28"/>
  <c r="C56" i="28"/>
  <c r="F56" i="28" s="1"/>
  <c r="E55" i="28"/>
  <c r="D55" i="28"/>
  <c r="C55" i="28"/>
  <c r="F55" i="28" s="1"/>
  <c r="E54" i="28"/>
  <c r="D54" i="28"/>
  <c r="C54" i="28"/>
  <c r="F54" i="28" s="1"/>
  <c r="E53" i="28"/>
  <c r="D53" i="28"/>
  <c r="C53" i="28"/>
  <c r="F53" i="28" s="1"/>
  <c r="E52" i="28"/>
  <c r="D52" i="28"/>
  <c r="C52" i="28"/>
  <c r="F52" i="28" s="1"/>
  <c r="E51" i="28"/>
  <c r="D51" i="28"/>
  <c r="C51" i="28"/>
  <c r="F51" i="28" s="1"/>
  <c r="E50" i="28"/>
  <c r="D50" i="28"/>
  <c r="C50" i="28"/>
  <c r="F50" i="28" s="1"/>
  <c r="E49" i="28"/>
  <c r="D49" i="28"/>
  <c r="C49" i="28"/>
  <c r="F49" i="28" s="1"/>
  <c r="E48" i="28"/>
  <c r="D48" i="28"/>
  <c r="C48" i="28"/>
  <c r="F48" i="28" s="1"/>
  <c r="E47" i="28"/>
  <c r="D47" i="28"/>
  <c r="C47" i="28"/>
  <c r="F47" i="28" s="1"/>
  <c r="E46" i="28"/>
  <c r="D46" i="28"/>
  <c r="C46" i="28"/>
  <c r="F46" i="28" s="1"/>
  <c r="E45" i="28"/>
  <c r="D45" i="28"/>
  <c r="C45" i="28"/>
  <c r="F45" i="28" s="1"/>
  <c r="E44" i="28"/>
  <c r="D44" i="28"/>
  <c r="C44" i="28"/>
  <c r="F44" i="28" s="1"/>
  <c r="E43" i="28"/>
  <c r="D43" i="28"/>
  <c r="C43" i="28"/>
  <c r="F43" i="28" s="1"/>
  <c r="E42" i="28"/>
  <c r="D42" i="28"/>
  <c r="C42" i="28"/>
  <c r="F42" i="28" s="1"/>
  <c r="E41" i="28"/>
  <c r="D41" i="28"/>
  <c r="C41" i="28"/>
  <c r="F41" i="28" s="1"/>
  <c r="E40" i="28"/>
  <c r="D40" i="28"/>
  <c r="C40" i="28"/>
  <c r="F40" i="28" s="1"/>
  <c r="E39" i="28"/>
  <c r="D39" i="28"/>
  <c r="C39" i="28"/>
  <c r="F39" i="28" s="1"/>
  <c r="E38" i="28"/>
  <c r="D38" i="28"/>
  <c r="C38" i="28"/>
  <c r="F38" i="28" s="1"/>
  <c r="F37" i="28"/>
  <c r="E36" i="28"/>
  <c r="D36" i="28"/>
  <c r="C36" i="28"/>
  <c r="F36" i="28" s="1"/>
  <c r="E35" i="28"/>
  <c r="D35" i="28"/>
  <c r="C35" i="28"/>
  <c r="F35" i="28" s="1"/>
  <c r="E34" i="28"/>
  <c r="D34" i="28"/>
  <c r="C34" i="28"/>
  <c r="F34" i="28" s="1"/>
  <c r="E33" i="28"/>
  <c r="D33" i="28"/>
  <c r="C33" i="28"/>
  <c r="F33" i="28" s="1"/>
  <c r="E32" i="28"/>
  <c r="D32" i="28"/>
  <c r="C32" i="28"/>
  <c r="F32" i="28" s="1"/>
  <c r="E31" i="28"/>
  <c r="D31" i="28"/>
  <c r="C31" i="28"/>
  <c r="F31" i="28" s="1"/>
  <c r="E30" i="28"/>
  <c r="D30" i="28"/>
  <c r="C30" i="28"/>
  <c r="F30" i="28" s="1"/>
  <c r="E29" i="28"/>
  <c r="D29" i="28"/>
  <c r="C29" i="28"/>
  <c r="F29" i="28" s="1"/>
  <c r="E28" i="28"/>
  <c r="D28" i="28"/>
  <c r="C28" i="28"/>
  <c r="F28" i="28" s="1"/>
  <c r="E27" i="28"/>
  <c r="D27" i="28"/>
  <c r="C27" i="28"/>
  <c r="F27" i="28" s="1"/>
  <c r="E26" i="28"/>
  <c r="D26" i="28"/>
  <c r="C26" i="28"/>
  <c r="F26" i="28" s="1"/>
  <c r="E25" i="28"/>
  <c r="D25" i="28"/>
  <c r="C25" i="28"/>
  <c r="F25" i="28" s="1"/>
  <c r="E24" i="28"/>
  <c r="D24" i="28"/>
  <c r="C24" i="28"/>
  <c r="F24" i="28" s="1"/>
  <c r="E23" i="28"/>
  <c r="D23" i="28"/>
  <c r="C23" i="28"/>
  <c r="F23" i="28" s="1"/>
  <c r="E22" i="28"/>
  <c r="D22" i="28"/>
  <c r="C22" i="28"/>
  <c r="F22" i="28" s="1"/>
  <c r="E21" i="28"/>
  <c r="D21" i="28"/>
  <c r="C21" i="28"/>
  <c r="F21" i="28" s="1"/>
  <c r="E20" i="28"/>
  <c r="D20" i="28"/>
  <c r="C20" i="28"/>
  <c r="F20" i="28" s="1"/>
  <c r="E19" i="28"/>
  <c r="D19" i="28"/>
  <c r="C19" i="28"/>
  <c r="F19" i="28" s="1"/>
  <c r="E18" i="28"/>
  <c r="D18" i="28"/>
  <c r="C18" i="28"/>
  <c r="F18" i="28" s="1"/>
  <c r="E17" i="28"/>
  <c r="D17" i="28"/>
  <c r="C17" i="28"/>
  <c r="F17" i="28" s="1"/>
  <c r="E16" i="28"/>
  <c r="D16" i="28"/>
  <c r="C16" i="28"/>
  <c r="F16" i="28" s="1"/>
  <c r="E15" i="28"/>
  <c r="D15" i="28"/>
  <c r="C15" i="28"/>
  <c r="F15" i="28" s="1"/>
  <c r="E14" i="28"/>
  <c r="D14" i="28"/>
  <c r="C14" i="28"/>
  <c r="F14" i="28" s="1"/>
  <c r="E13" i="28"/>
  <c r="D13" i="28"/>
  <c r="C13" i="28"/>
  <c r="F13" i="28" s="1"/>
  <c r="E12" i="28"/>
  <c r="D12" i="28"/>
  <c r="C12" i="28"/>
  <c r="F12" i="28" s="1"/>
  <c r="E11" i="28"/>
  <c r="D11" i="28"/>
  <c r="C11" i="28"/>
  <c r="F11" i="28" s="1"/>
  <c r="E10" i="28"/>
  <c r="D10" i="28"/>
  <c r="C10" i="28"/>
  <c r="F10" i="28" s="1"/>
  <c r="E9" i="28"/>
  <c r="D9" i="28"/>
  <c r="C9" i="28"/>
  <c r="F9" i="28" s="1"/>
  <c r="E8" i="28"/>
  <c r="D8" i="28"/>
  <c r="C8" i="28"/>
  <c r="F8" i="28" s="1"/>
  <c r="E7" i="28"/>
  <c r="D7" i="28"/>
  <c r="C7" i="28"/>
  <c r="F7" i="28" s="1"/>
  <c r="E6" i="28"/>
  <c r="D6" i="28"/>
  <c r="C6" i="28"/>
  <c r="F6" i="28" s="1"/>
  <c r="E5" i="28"/>
  <c r="D5" i="28"/>
  <c r="C5" i="28"/>
  <c r="F5" i="28" s="1"/>
  <c r="E4" i="28"/>
  <c r="D4" i="28"/>
  <c r="C4" i="28"/>
  <c r="F4" i="28" s="1"/>
  <c r="E3" i="28"/>
  <c r="D3" i="28"/>
  <c r="C3" i="28"/>
  <c r="F3" i="28" s="1"/>
  <c r="E2" i="28"/>
  <c r="D2" i="28"/>
  <c r="C2" i="28"/>
  <c r="F2" i="28" s="1"/>
  <c r="O17" i="27"/>
  <c r="P16" i="27"/>
  <c r="P14" i="27"/>
  <c r="P11" i="27"/>
  <c r="P10" i="27"/>
  <c r="P9" i="27"/>
  <c r="P8" i="27"/>
  <c r="P7" i="27"/>
  <c r="L7" i="26"/>
  <c r="K7" i="26"/>
  <c r="I7" i="26"/>
  <c r="N29" i="1" s="1"/>
  <c r="L6" i="26"/>
  <c r="K8" i="25"/>
  <c r="L5" i="25"/>
  <c r="J5" i="25"/>
  <c r="J8" i="25" s="1"/>
  <c r="L4" i="25"/>
  <c r="L10" i="24"/>
  <c r="N27" i="1"/>
  <c r="M27" i="1"/>
  <c r="M8" i="24"/>
  <c r="M7" i="23"/>
  <c r="L7" i="23"/>
  <c r="N26" i="1"/>
  <c r="M6" i="23"/>
  <c r="K8" i="22"/>
  <c r="I8" i="22"/>
  <c r="N25" i="1" s="1"/>
  <c r="L7" i="22"/>
  <c r="K9" i="21"/>
  <c r="N24" i="1"/>
  <c r="L9" i="21"/>
  <c r="L7" i="21"/>
  <c r="L6" i="21"/>
  <c r="K7" i="20"/>
  <c r="J7" i="20"/>
  <c r="I7" i="20"/>
  <c r="K23" i="1" s="1"/>
  <c r="H7" i="20"/>
  <c r="L7" i="20" s="1"/>
  <c r="L6" i="20"/>
  <c r="L5" i="20"/>
  <c r="K7" i="19"/>
  <c r="J7" i="19"/>
  <c r="K22" i="1"/>
  <c r="L7" i="19"/>
  <c r="L6" i="19"/>
  <c r="J6" i="18"/>
  <c r="I6" i="18"/>
  <c r="H6" i="18"/>
  <c r="K21" i="1" s="1"/>
  <c r="G6" i="18"/>
  <c r="K6" i="18" s="1"/>
  <c r="K5" i="18"/>
  <c r="K16" i="17"/>
  <c r="K20" i="1"/>
  <c r="H16" i="17"/>
  <c r="L16" i="17" s="1"/>
  <c r="L14" i="17"/>
  <c r="L13" i="17"/>
  <c r="J14" i="16"/>
  <c r="I14" i="16"/>
  <c r="H14" i="16"/>
  <c r="G14" i="16"/>
  <c r="K14" i="16" s="1"/>
  <c r="K13" i="16"/>
  <c r="K12" i="16"/>
  <c r="K11" i="16"/>
  <c r="K10" i="16"/>
  <c r="K9" i="16"/>
  <c r="K8" i="16"/>
  <c r="J12" i="15"/>
  <c r="I12" i="15"/>
  <c r="H12" i="15"/>
  <c r="G12" i="15"/>
  <c r="K12" i="15" s="1"/>
  <c r="K11" i="15"/>
  <c r="J8" i="15"/>
  <c r="I8" i="15"/>
  <c r="H8" i="15"/>
  <c r="H18" i="1" s="1"/>
  <c r="G8" i="15"/>
  <c r="K8" i="15" s="1"/>
  <c r="K7" i="15"/>
  <c r="L7" i="14"/>
  <c r="J7" i="14"/>
  <c r="M7" i="14"/>
  <c r="M6" i="14"/>
  <c r="K6" i="14"/>
  <c r="J16" i="13"/>
  <c r="I16" i="13"/>
  <c r="N16" i="1"/>
  <c r="K16" i="13"/>
  <c r="K15" i="13"/>
  <c r="K14" i="13"/>
  <c r="J11" i="13"/>
  <c r="I11" i="13"/>
  <c r="H11" i="13"/>
  <c r="K16" i="1" s="1"/>
  <c r="K11" i="13"/>
  <c r="K10" i="13"/>
  <c r="J7" i="13"/>
  <c r="I7" i="13"/>
  <c r="H7" i="13"/>
  <c r="E16" i="1" s="1"/>
  <c r="K7" i="13"/>
  <c r="K6" i="13"/>
  <c r="M7" i="12"/>
  <c r="I7" i="12"/>
  <c r="I8" i="12" s="1"/>
  <c r="M5" i="12"/>
  <c r="K9" i="11"/>
  <c r="J9" i="11"/>
  <c r="I9" i="11"/>
  <c r="H14" i="1" s="1"/>
  <c r="L9" i="11"/>
  <c r="L8" i="11"/>
  <c r="J7" i="10"/>
  <c r="I7" i="10"/>
  <c r="H7" i="10"/>
  <c r="H13" i="1" s="1"/>
  <c r="K7" i="10"/>
  <c r="K6" i="10"/>
  <c r="J9" i="9"/>
  <c r="I9" i="9"/>
  <c r="H12" i="1"/>
  <c r="K9" i="9"/>
  <c r="K8" i="9"/>
  <c r="K7" i="9"/>
  <c r="K6" i="9"/>
  <c r="K14" i="8"/>
  <c r="J14" i="8"/>
  <c r="L14" i="8"/>
  <c r="L13" i="8"/>
  <c r="K10" i="8"/>
  <c r="L9" i="8"/>
  <c r="H9" i="8"/>
  <c r="L8" i="8"/>
  <c r="H8" i="8"/>
  <c r="H7" i="8"/>
  <c r="J7" i="8" s="1"/>
  <c r="L6" i="8"/>
  <c r="H6" i="8"/>
  <c r="K8" i="7"/>
  <c r="J8" i="7"/>
  <c r="L8" i="7"/>
  <c r="L7" i="7"/>
  <c r="L6" i="7"/>
  <c r="K9" i="6"/>
  <c r="E9" i="1"/>
  <c r="L8" i="6"/>
  <c r="L7" i="6"/>
  <c r="J15" i="5"/>
  <c r="K8" i="1"/>
  <c r="K14" i="5"/>
  <c r="K13" i="5"/>
  <c r="K10" i="5"/>
  <c r="J9" i="5"/>
  <c r="I9" i="5"/>
  <c r="D8" i="1"/>
  <c r="K8" i="5"/>
  <c r="K7" i="5"/>
  <c r="K6" i="5"/>
  <c r="J13" i="4"/>
  <c r="K13" i="4"/>
  <c r="K12" i="4"/>
  <c r="I12" i="4"/>
  <c r="K11" i="4"/>
  <c r="I11" i="4"/>
  <c r="K10" i="4"/>
  <c r="I10" i="4"/>
  <c r="K9" i="4"/>
  <c r="I9" i="4"/>
  <c r="K8" i="4"/>
  <c r="I8" i="4"/>
  <c r="K7" i="4"/>
  <c r="I7" i="4"/>
  <c r="K6" i="4"/>
  <c r="I6" i="4"/>
  <c r="K5" i="4"/>
  <c r="K4" i="4"/>
  <c r="J25" i="3"/>
  <c r="H25" i="3"/>
  <c r="K25" i="3"/>
  <c r="K24" i="3"/>
  <c r="I24" i="3"/>
  <c r="K23" i="3"/>
  <c r="I23" i="3"/>
  <c r="K22" i="3"/>
  <c r="I22" i="3"/>
  <c r="K21" i="3"/>
  <c r="I21" i="3"/>
  <c r="J18" i="3"/>
  <c r="H18" i="3"/>
  <c r="H6" i="1" s="1"/>
  <c r="K17" i="3"/>
  <c r="K16" i="3"/>
  <c r="K15" i="3"/>
  <c r="K14" i="3"/>
  <c r="K13" i="3"/>
  <c r="K12" i="3"/>
  <c r="K11" i="3"/>
  <c r="J8" i="3"/>
  <c r="H8" i="3"/>
  <c r="E6" i="1" s="1"/>
  <c r="K8" i="3"/>
  <c r="K7" i="3"/>
  <c r="K6" i="3"/>
  <c r="K5" i="3"/>
  <c r="O30" i="1"/>
  <c r="K30" i="1"/>
  <c r="L30" i="1" s="1"/>
  <c r="I30" i="1"/>
  <c r="F30" i="1"/>
  <c r="M29" i="1"/>
  <c r="L29" i="1"/>
  <c r="I29" i="1"/>
  <c r="F29" i="1"/>
  <c r="N28" i="1"/>
  <c r="M28" i="1"/>
  <c r="L28" i="1"/>
  <c r="I28" i="1"/>
  <c r="L27" i="1"/>
  <c r="I27" i="1"/>
  <c r="F27" i="1"/>
  <c r="M26" i="1"/>
  <c r="L26" i="1"/>
  <c r="I26" i="1"/>
  <c r="F26" i="1"/>
  <c r="L25" i="1"/>
  <c r="I25" i="1"/>
  <c r="F25" i="1"/>
  <c r="L24" i="1"/>
  <c r="I24" i="1"/>
  <c r="F24" i="1"/>
  <c r="O23" i="1"/>
  <c r="I23" i="1"/>
  <c r="F23" i="1"/>
  <c r="O22" i="1"/>
  <c r="I22" i="1"/>
  <c r="F22" i="1"/>
  <c r="O21" i="1"/>
  <c r="I21" i="1"/>
  <c r="F21" i="1"/>
  <c r="O20" i="1"/>
  <c r="I20" i="1"/>
  <c r="F20" i="1"/>
  <c r="O19" i="1"/>
  <c r="L19" i="1"/>
  <c r="H19" i="1"/>
  <c r="F19" i="1"/>
  <c r="O18" i="1"/>
  <c r="K18" i="1"/>
  <c r="F18" i="1"/>
  <c r="O17" i="1"/>
  <c r="L17" i="1"/>
  <c r="H17" i="1"/>
  <c r="G17" i="1"/>
  <c r="F17" i="1"/>
  <c r="I16" i="1"/>
  <c r="O15" i="1"/>
  <c r="L15" i="1"/>
  <c r="H15" i="1"/>
  <c r="F15" i="1"/>
  <c r="O14" i="1"/>
  <c r="L14" i="1"/>
  <c r="G14" i="1"/>
  <c r="F14" i="1"/>
  <c r="O13" i="1"/>
  <c r="L13" i="1"/>
  <c r="G13" i="1"/>
  <c r="F13" i="1"/>
  <c r="O12" i="1"/>
  <c r="L12" i="1"/>
  <c r="G12" i="1"/>
  <c r="F12" i="1"/>
  <c r="L11" i="1"/>
  <c r="H11" i="1"/>
  <c r="G11" i="1"/>
  <c r="F11" i="1"/>
  <c r="O10" i="1"/>
  <c r="L10" i="1"/>
  <c r="E10" i="1"/>
  <c r="D10" i="1"/>
  <c r="O9" i="1"/>
  <c r="L9" i="1"/>
  <c r="D9" i="1"/>
  <c r="O8" i="1"/>
  <c r="I8" i="1"/>
  <c r="E8" i="1"/>
  <c r="L7" i="1"/>
  <c r="I7" i="1"/>
  <c r="E7" i="1"/>
  <c r="D7" i="1"/>
  <c r="O6" i="1"/>
  <c r="K6" i="1"/>
  <c r="G18" i="1" l="1"/>
  <c r="J23" i="1"/>
  <c r="L23" i="1" s="1"/>
  <c r="H10" i="8"/>
  <c r="L10" i="8" s="1"/>
  <c r="F7" i="1"/>
  <c r="I11" i="1"/>
  <c r="F10" i="1"/>
  <c r="J20" i="1"/>
  <c r="L20" i="1" s="1"/>
  <c r="M24" i="1"/>
  <c r="O24" i="1" s="1"/>
  <c r="G15" i="1"/>
  <c r="I15" i="1" s="1"/>
  <c r="M8" i="12"/>
  <c r="D6" i="1"/>
  <c r="I18" i="3"/>
  <c r="I8" i="3" s="1"/>
  <c r="I25" i="3"/>
  <c r="G6" i="1"/>
  <c r="I6" i="1" s="1"/>
  <c r="K18" i="3"/>
  <c r="J6" i="1"/>
  <c r="L6" i="1" s="1"/>
  <c r="F9" i="1"/>
  <c r="I17" i="1"/>
  <c r="O29" i="1"/>
  <c r="O27" i="1"/>
  <c r="H35" i="1"/>
  <c r="J18" i="1"/>
  <c r="L18" i="1" s="1"/>
  <c r="I18" i="1"/>
  <c r="J8" i="1"/>
  <c r="L8" i="1" s="1"/>
  <c r="D16" i="1"/>
  <c r="F16" i="1" s="1"/>
  <c r="J16" i="1"/>
  <c r="L16" i="1" s="1"/>
  <c r="K35" i="1"/>
  <c r="F8" i="1"/>
  <c r="N35" i="1"/>
  <c r="K10" i="24"/>
  <c r="M10" i="24"/>
  <c r="I18" i="2"/>
  <c r="I14" i="1"/>
  <c r="I12" i="1"/>
  <c r="E35" i="1"/>
  <c r="O26" i="1"/>
  <c r="O28" i="1"/>
  <c r="I13" i="1"/>
  <c r="M25" i="1"/>
  <c r="O25" i="1" s="1"/>
  <c r="F17" i="2"/>
  <c r="D6" i="2"/>
  <c r="J18" i="2"/>
  <c r="D15" i="2"/>
  <c r="H13" i="2"/>
  <c r="J9" i="2"/>
  <c r="J6" i="2"/>
  <c r="H16" i="2"/>
  <c r="F11" i="2"/>
  <c r="H7" i="2"/>
  <c r="J15" i="2"/>
  <c r="F14" i="2"/>
  <c r="J12" i="2"/>
  <c r="H10" i="2"/>
  <c r="F8" i="2"/>
  <c r="D18" i="2"/>
  <c r="D12" i="2"/>
  <c r="D9" i="2"/>
  <c r="K18" i="2"/>
  <c r="J6" i="8"/>
  <c r="M16" i="1"/>
  <c r="O16" i="1" s="1"/>
  <c r="G19" i="1"/>
  <c r="I19" i="1" s="1"/>
  <c r="E6" i="2"/>
  <c r="K6" i="2"/>
  <c r="I7" i="2"/>
  <c r="G8" i="2"/>
  <c r="E9" i="2"/>
  <c r="K9" i="2"/>
  <c r="I10" i="2"/>
  <c r="G11" i="2"/>
  <c r="E12" i="2"/>
  <c r="K12" i="2"/>
  <c r="I13" i="2"/>
  <c r="G14" i="2"/>
  <c r="E15" i="2"/>
  <c r="K15" i="2"/>
  <c r="I16" i="2"/>
  <c r="G17" i="2"/>
  <c r="E18" i="2"/>
  <c r="J21" i="1"/>
  <c r="L21" i="1" s="1"/>
  <c r="J22" i="1"/>
  <c r="L22" i="1" s="1"/>
  <c r="F6" i="2"/>
  <c r="D7" i="2"/>
  <c r="J7" i="2"/>
  <c r="H8" i="2"/>
  <c r="F9" i="2"/>
  <c r="D10" i="2"/>
  <c r="J10" i="2"/>
  <c r="H11" i="2"/>
  <c r="F12" i="2"/>
  <c r="D13" i="2"/>
  <c r="J13" i="2"/>
  <c r="H14" i="2"/>
  <c r="F15" i="2"/>
  <c r="D16" i="2"/>
  <c r="J16" i="2"/>
  <c r="H17" i="2"/>
  <c r="F18" i="2"/>
  <c r="G6" i="2"/>
  <c r="E7" i="2"/>
  <c r="K7" i="2"/>
  <c r="I8" i="2"/>
  <c r="G9" i="2"/>
  <c r="E10" i="2"/>
  <c r="K10" i="2"/>
  <c r="I11" i="2"/>
  <c r="G12" i="2"/>
  <c r="E13" i="2"/>
  <c r="K13" i="2"/>
  <c r="I14" i="2"/>
  <c r="G15" i="2"/>
  <c r="E16" i="2"/>
  <c r="K16" i="2"/>
  <c r="I17" i="2"/>
  <c r="G18" i="2"/>
  <c r="I13" i="4"/>
  <c r="K7" i="14"/>
  <c r="F7" i="2"/>
  <c r="J8" i="2"/>
  <c r="J11" i="2"/>
  <c r="J14" i="2"/>
  <c r="H15" i="2"/>
  <c r="F16" i="2"/>
  <c r="D17" i="2"/>
  <c r="J17" i="2"/>
  <c r="H18" i="2"/>
  <c r="H6" i="2"/>
  <c r="D8" i="2"/>
  <c r="H9" i="2"/>
  <c r="F10" i="2"/>
  <c r="D11" i="2"/>
  <c r="H12" i="2"/>
  <c r="F13" i="2"/>
  <c r="D14" i="2"/>
  <c r="I6" i="2"/>
  <c r="G7" i="2"/>
  <c r="E8" i="2"/>
  <c r="K8" i="2"/>
  <c r="I9" i="2"/>
  <c r="G10" i="2"/>
  <c r="E11" i="2"/>
  <c r="K11" i="2"/>
  <c r="I12" i="2"/>
  <c r="G13" i="2"/>
  <c r="E14" i="2"/>
  <c r="K14" i="2"/>
  <c r="I15" i="2"/>
  <c r="G16" i="2"/>
  <c r="E17" i="2"/>
  <c r="K17" i="2"/>
  <c r="D35" i="1" l="1"/>
  <c r="F6" i="1"/>
  <c r="F35" i="1" s="1"/>
  <c r="I35" i="1"/>
  <c r="M35" i="1"/>
  <c r="O35" i="1"/>
  <c r="P17" i="27"/>
  <c r="L35" i="1"/>
  <c r="J35" i="1"/>
  <c r="G35" i="1"/>
  <c r="J19" i="2"/>
  <c r="H19" i="2"/>
  <c r="F19" i="2"/>
  <c r="D19"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D12" authorId="0" shapeId="0" xr:uid="{00000000-0006-0000-0000-000001000000}">
      <text>
        <r>
          <rPr>
            <sz val="10"/>
            <rFont val="Arial"/>
            <family val="2"/>
          </rPr>
          <t>No April sales entries exist in the 'AR Medical Corporation' sheet, so this was left blank instead of the old hardcoded 181750 (which didn't match any source data). Add April entries in that sheet if this party had April sales.</t>
        </r>
      </text>
    </comment>
  </commentList>
</comments>
</file>

<file path=xl/sharedStrings.xml><?xml version="1.0" encoding="utf-8"?>
<sst xmlns="http://schemas.openxmlformats.org/spreadsheetml/2006/main" count="1140" uniqueCount="175">
  <si>
    <t xml:space="preserve">Month </t>
  </si>
  <si>
    <t xml:space="preserve">Party Name </t>
  </si>
  <si>
    <t>Total Price</t>
  </si>
  <si>
    <t>Paid Amount</t>
  </si>
  <si>
    <t>Dues Amount</t>
  </si>
  <si>
    <t>Ark Hospital</t>
  </si>
  <si>
    <t>Bismillah Surgical</t>
  </si>
  <si>
    <t>Popular Medicine AND Departmental Store</t>
  </si>
  <si>
    <t>Kuwait Moitri Hospital</t>
  </si>
  <si>
    <t>VIP PHARMA-HAZI PHARMA</t>
  </si>
  <si>
    <t>Mr. Afjal</t>
  </si>
  <si>
    <t>Column1</t>
  </si>
  <si>
    <t>Ar Medical Corporation</t>
  </si>
  <si>
    <t>SG Pharma Shamoly</t>
  </si>
  <si>
    <t>Anima Medical</t>
  </si>
  <si>
    <t>Rahman Pharma</t>
  </si>
  <si>
    <t>Norshingdi Pharma</t>
  </si>
  <si>
    <t>MA Pharmacy Medical</t>
  </si>
  <si>
    <t>Life Surgical</t>
  </si>
  <si>
    <t>Chittagong Healthcare</t>
  </si>
  <si>
    <t>Happy Life Pharmacy</t>
  </si>
  <si>
    <t>Royal Medical</t>
  </si>
  <si>
    <t>USB Hospital Uttara</t>
  </si>
  <si>
    <t>Asha International</t>
  </si>
  <si>
    <t>Star Surgical</t>
  </si>
  <si>
    <t>Sylhet Pharma</t>
  </si>
  <si>
    <t>Bulbul Surgical</t>
  </si>
  <si>
    <t>Suzon Pharma (Rangpur)</t>
  </si>
  <si>
    <t>SH Pharma</t>
  </si>
  <si>
    <t>Mitfort Hospital</t>
  </si>
  <si>
    <t>Products Delivery Statement-2026</t>
  </si>
  <si>
    <t>Item</t>
  </si>
  <si>
    <t>Code</t>
  </si>
  <si>
    <t>Qty</t>
  </si>
  <si>
    <t xml:space="preserve">Unit Price </t>
  </si>
  <si>
    <t>ITEM01</t>
  </si>
  <si>
    <t>Dialyzer 1.7H</t>
  </si>
  <si>
    <t>ITEM02</t>
  </si>
  <si>
    <t>Dialyzer 1.7L</t>
  </si>
  <si>
    <t>ITEM03</t>
  </si>
  <si>
    <t>Dialyzer 1.5H</t>
  </si>
  <si>
    <t>ITEM04</t>
  </si>
  <si>
    <t>Dialyzer 1.5L</t>
  </si>
  <si>
    <t>ITEM05</t>
  </si>
  <si>
    <t>Dialyzer 1.6H</t>
  </si>
  <si>
    <t>ITEM06</t>
  </si>
  <si>
    <t>Dialyzer 1.6L</t>
  </si>
  <si>
    <t>ITEM07</t>
  </si>
  <si>
    <t>Dialyzer 1.8H</t>
  </si>
  <si>
    <t>ITEM09</t>
  </si>
  <si>
    <t>Dialyzer</t>
  </si>
  <si>
    <t>ITEM08</t>
  </si>
  <si>
    <t>ITEM10</t>
  </si>
  <si>
    <t>Blood Line Sets</t>
  </si>
  <si>
    <t>ITEM11</t>
  </si>
  <si>
    <t>AV Fistula 16g</t>
  </si>
  <si>
    <t>ITEM12</t>
  </si>
  <si>
    <t>AV Fistula 17g</t>
  </si>
  <si>
    <t>ITEM13</t>
  </si>
  <si>
    <t>Catheter</t>
  </si>
  <si>
    <t>Total Qty (all items)</t>
  </si>
  <si>
    <t>Party Name</t>
  </si>
  <si>
    <t>April</t>
  </si>
  <si>
    <t>Sales Date</t>
  </si>
  <si>
    <t xml:space="preserve">Qty </t>
  </si>
  <si>
    <t>Unit Price</t>
  </si>
  <si>
    <t xml:space="preserve">Total Price </t>
  </si>
  <si>
    <t xml:space="preserve">Dues Amount </t>
  </si>
  <si>
    <t>Discount</t>
  </si>
  <si>
    <t>Total Amount After Discount</t>
  </si>
  <si>
    <t>18/4/2026</t>
  </si>
  <si>
    <t>22/4/2026</t>
  </si>
  <si>
    <t>Central Vanous Cather 7Fr-13cm</t>
  </si>
  <si>
    <t>Total</t>
  </si>
  <si>
    <t>May</t>
  </si>
  <si>
    <t>22/5/2026</t>
  </si>
  <si>
    <t>23/5/2026</t>
  </si>
  <si>
    <t>June</t>
  </si>
  <si>
    <t>Dialyzer 2.0</t>
  </si>
  <si>
    <t>17/6/26</t>
  </si>
  <si>
    <t>24/6/26</t>
  </si>
  <si>
    <t>28/4/2026</t>
  </si>
  <si>
    <t>AV Fistula Needle for Hemodialysis</t>
  </si>
  <si>
    <t>Dialyzer for Hemodialysis 1.5H</t>
  </si>
  <si>
    <t>Dialyzer For Hemodialysis 1.5L</t>
  </si>
  <si>
    <t>Blood Tubing Set For Hemodialysis</t>
  </si>
  <si>
    <t>20/4/2026</t>
  </si>
  <si>
    <t>Total Paid</t>
  </si>
  <si>
    <t>30987-1400= 29,587 ( VAT of Bank 1400)</t>
  </si>
  <si>
    <t>13/4/2026</t>
  </si>
  <si>
    <t>21/4/2026</t>
  </si>
  <si>
    <t>19/5/2026</t>
  </si>
  <si>
    <t>July</t>
  </si>
  <si>
    <t>14/5/2026</t>
  </si>
  <si>
    <t>18/5/2026</t>
  </si>
  <si>
    <t xml:space="preserve">July </t>
  </si>
  <si>
    <t>Blood Line Setzs</t>
  </si>
  <si>
    <t>24/5/2026</t>
  </si>
  <si>
    <t>16/5/2026</t>
  </si>
  <si>
    <t>13/6/2026</t>
  </si>
  <si>
    <t>Blood Tubing Set for Hemodialysis</t>
  </si>
  <si>
    <t>Dialyzer for Hemodialysis 1.7H</t>
  </si>
  <si>
    <t>Dialyzer for Hemodialysis 1.7L</t>
  </si>
  <si>
    <t>Hemodialysis Cather 12Fr-20cm</t>
  </si>
  <si>
    <t>Catheter/C.V. Line</t>
  </si>
  <si>
    <t>29/6/26</t>
  </si>
  <si>
    <t>25/7/2026</t>
  </si>
  <si>
    <t>Dialyzer  1.6L</t>
  </si>
  <si>
    <t>17/6/2026</t>
  </si>
  <si>
    <t>Source Sheet</t>
  </si>
  <si>
    <t>Month</t>
  </si>
  <si>
    <t>Item (raw)</t>
  </si>
  <si>
    <t>Item Code</t>
  </si>
  <si>
    <t>ARK Hospital</t>
  </si>
  <si>
    <t xml:space="preserve">Popular Medcine &amp; Departmental </t>
  </si>
  <si>
    <t>AR Medical Corporation</t>
  </si>
  <si>
    <t>Suzon Pharma (Rang)</t>
  </si>
  <si>
    <t>Raw item text (as typed in party sheets)</t>
  </si>
  <si>
    <t>Maps to (Products Delivery row)</t>
  </si>
  <si>
    <t>Blood Line</t>
  </si>
  <si>
    <t>Blood Line Setz</t>
  </si>
  <si>
    <t>Cather</t>
  </si>
  <si>
    <t>Catheter (all types)</t>
  </si>
  <si>
    <t>Dialyzer (unspecified size)</t>
  </si>
  <si>
    <t>Dialyzer (2.0 / other size)</t>
  </si>
  <si>
    <t>Hemodialysis</t>
  </si>
  <si>
    <t>Dialyzer 1.8g</t>
  </si>
  <si>
    <t>Dialyzer 1.7g</t>
  </si>
  <si>
    <t>Edit the Code column above to change how an item is grouped in Products Delivery. Add a new row here for any new item text that shows up in a party sheet.</t>
  </si>
  <si>
    <t>Serial</t>
  </si>
  <si>
    <t>7.5% VAT</t>
  </si>
  <si>
    <t>7% AIT</t>
  </si>
  <si>
    <t>Total Price without VAT and AIT</t>
  </si>
  <si>
    <t>Total Price with VAT and AIT</t>
  </si>
  <si>
    <t>Onima Medical</t>
  </si>
  <si>
    <t>27/7/2026</t>
  </si>
  <si>
    <t>23/7/2026</t>
  </si>
  <si>
    <t>August</t>
  </si>
  <si>
    <t>Collection Date</t>
  </si>
  <si>
    <t>Remarks</t>
  </si>
  <si>
    <t>Forward to MD</t>
  </si>
  <si>
    <t>Cash Received by Mr. Saifullah(As Advance Salary)</t>
  </si>
  <si>
    <t>Cash Received by Mostofa</t>
  </si>
  <si>
    <t>Collection Amount</t>
  </si>
  <si>
    <t>29/7/2026</t>
  </si>
  <si>
    <t>24/6/2026</t>
  </si>
  <si>
    <t>29/6/2026</t>
  </si>
  <si>
    <t>Forward to Merchantile Bank</t>
  </si>
  <si>
    <t>14/6/2026</t>
  </si>
  <si>
    <t>Cash Forward to MD Sir</t>
  </si>
  <si>
    <t>Forward to Office Cash</t>
  </si>
  <si>
    <t>23/6/2026</t>
  </si>
  <si>
    <t>Forward to cash</t>
  </si>
  <si>
    <t>Forward to Cash</t>
  </si>
  <si>
    <t>Loan for Driver &amp; Car fueling</t>
  </si>
  <si>
    <t>Deposited to CITYBANK</t>
  </si>
  <si>
    <t>Cash Forward to Office</t>
  </si>
  <si>
    <t>23.05.2026 for Salary May 2026</t>
  </si>
  <si>
    <t>25/5/2026</t>
  </si>
  <si>
    <t>21/5/2026</t>
  </si>
  <si>
    <t>13/5/2026</t>
  </si>
  <si>
    <t>Forward to CEO</t>
  </si>
  <si>
    <t>Cash forward to Mercantile Bank (13/07/2026)</t>
  </si>
  <si>
    <t>(House rent 20,000 from this collection)</t>
  </si>
  <si>
    <t>Cut from saifullah salary</t>
  </si>
  <si>
    <t>Mymen. Sayem Diagnostic Center</t>
  </si>
  <si>
    <t>Cash forward to Mercantile Bank</t>
  </si>
  <si>
    <t>Cash Forward to CEO</t>
  </si>
  <si>
    <t>Cut from Saifullah Salary 3000 Taka</t>
  </si>
  <si>
    <r>
      <rPr>
        <u/>
        <sz val="11"/>
        <color rgb="FFFF0000"/>
        <rFont val="Calibri"/>
        <family val="2"/>
      </rPr>
      <t>[225</t>
    </r>
    <r>
      <rPr>
        <sz val="11"/>
        <color theme="1"/>
        <rFont val="Calibri"/>
        <family val="2"/>
        <charset val="1"/>
      </rPr>
      <t>]200</t>
    </r>
  </si>
  <si>
    <r>
      <rPr>
        <b/>
        <sz val="11"/>
        <color theme="1"/>
        <rFont val="Calibri"/>
        <family val="2"/>
      </rPr>
      <t>1500</t>
    </r>
    <r>
      <rPr>
        <sz val="11"/>
        <color theme="1"/>
        <rFont val="Calibri"/>
        <family val="2"/>
        <charset val="1"/>
      </rPr>
      <t xml:space="preserve"> commision saifullah</t>
    </r>
  </si>
  <si>
    <t>Sonu Pharma</t>
  </si>
  <si>
    <t>AR Medi Corporation</t>
  </si>
  <si>
    <t>Insaf Baraka</t>
  </si>
  <si>
    <t>Insaf Baraka Foundation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</si>
</sst>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_(* \(#,##0.00\);_(* &quot;-&quot;??_);_(@_)"/>
  </numFmts>
  <fonts count="25" x14ac:knownFonts="1">
    <font>
      <sz val="11"/>
      <color theme="1"/>
      <name val="Calibri"/>
      <family val="2"/>
      <charset val="1"/>
    </font>
    <font>
      <b/>
      <sz val="12"/>
      <color theme="0"/>
      <name val="Calibri"/>
      <family val="2"/>
      <charset val="1"/>
    </font>
    <font>
      <sz val="11"/>
      <name val="Calibri"/>
      <family val="2"/>
      <charset val="1"/>
    </font>
    <font>
      <b/>
      <sz val="14"/>
      <color theme="0"/>
      <name val="Calibri"/>
      <family val="2"/>
      <charset val="1"/>
    </font>
    <font>
      <sz val="10"/>
      <name val="Arial"/>
      <family val="2"/>
    </font>
    <font>
      <b/>
      <sz val="11"/>
      <color theme="1"/>
      <name val="Calibri"/>
      <family val="2"/>
      <charset val="1"/>
    </font>
    <font>
      <b/>
      <sz val="11"/>
      <name val="Calibri"/>
      <family val="2"/>
      <charset val="1"/>
    </font>
    <font>
      <b/>
      <sz val="11"/>
      <name val="Arial"/>
      <family val="2"/>
      <charset val="1"/>
    </font>
    <font>
      <i/>
      <sz val="11"/>
      <color rgb="FF808080"/>
      <name val="Arial"/>
      <family val="2"/>
      <charset val="1"/>
    </font>
    <font>
      <sz val="11"/>
      <name val="Arial"/>
      <family val="2"/>
      <charset val="1"/>
    </font>
    <font>
      <b/>
      <sz val="11"/>
      <color rgb="FFFFFFFF"/>
      <name val="Calibri"/>
      <family val="2"/>
      <charset val="1"/>
    </font>
    <font>
      <b/>
      <sz val="11"/>
      <color theme="0"/>
      <name val="Calibri"/>
      <family val="2"/>
      <charset val="1"/>
    </font>
    <font>
      <sz val="14"/>
      <color theme="1"/>
      <name val="Calibri"/>
      <family val="2"/>
      <charset val="1"/>
    </font>
    <font>
      <b/>
      <sz val="14"/>
      <color rgb="FFFFFFFF"/>
      <name val="Calibri"/>
      <family val="2"/>
      <charset val="1"/>
    </font>
    <font>
      <b/>
      <sz val="20"/>
      <color theme="0"/>
      <name val="Calibri"/>
      <family val="2"/>
      <charset val="1"/>
    </font>
    <font>
      <sz val="14"/>
      <color theme="0"/>
      <name val="Calibri"/>
      <family val="2"/>
      <charset val="1"/>
    </font>
    <font>
      <b/>
      <sz val="16"/>
      <color theme="0"/>
      <name val="Calibri"/>
      <family val="2"/>
      <charset val="1"/>
    </font>
    <font>
      <i/>
      <sz val="9"/>
      <name val="Arial"/>
      <family val="2"/>
      <charset val="1"/>
    </font>
    <font>
      <sz val="11"/>
      <color theme="1"/>
      <name val="Calibri"/>
      <family val="2"/>
      <charset val="1"/>
    </font>
    <font>
      <b/>
      <sz val="11"/>
      <color theme="0"/>
      <name val="Calibri"/>
      <family val="2"/>
    </font>
    <font>
      <b/>
      <sz val="11"/>
      <color theme="1"/>
      <name val="Calibri"/>
      <family val="2"/>
    </font>
    <font>
      <sz val="11"/>
      <color theme="1"/>
      <name val="Calibri"/>
      <family val="2"/>
    </font>
    <font>
      <u/>
      <sz val="11"/>
      <color rgb="FFFF0000"/>
      <name val="Calibri"/>
      <family val="2"/>
    </font>
    <font>
      <sz val="11"/>
      <color theme="0"/>
      <name val="Calibri"/>
      <family val="2"/>
      <charset val="1"/>
    </font>
    <font>
      <sz val="12"/>
      <color theme="0"/>
      <name val="Calibri"/>
      <family val="2"/>
      <charset val="1"/>
    </font>
  </fonts>
  <fills count="25">
    <fill>
      <patternFill patternType="none"/>
    </fill>
    <fill>
      <patternFill patternType="gray125"/>
    </fill>
    <fill>
      <patternFill patternType="solid">
        <fgColor theme="4"/>
        <bgColor rgb="FF2F75B5"/>
      </patternFill>
    </fill>
    <fill>
      <patternFill patternType="solid">
        <fgColor theme="3" tint="0.79979857783745845"/>
        <bgColor rgb="FFD9D9D9"/>
      </patternFill>
    </fill>
    <fill>
      <patternFill patternType="solid">
        <fgColor theme="7" tint="0.39967040009765925"/>
        <bgColor rgb="FF9999FF"/>
      </patternFill>
    </fill>
    <fill>
      <patternFill patternType="solid">
        <fgColor theme="8"/>
        <bgColor rgb="FF4F81BD"/>
      </patternFill>
    </fill>
    <fill>
      <patternFill patternType="solid">
        <fgColor theme="9" tint="0.59968871120334488"/>
        <bgColor rgb="FFD9D9D9"/>
      </patternFill>
    </fill>
    <fill>
      <patternFill patternType="solid">
        <fgColor theme="6" tint="0.59968871120334488"/>
        <bgColor rgb="FFD9D9D9"/>
      </patternFill>
    </fill>
    <fill>
      <patternFill patternType="solid">
        <fgColor theme="3" tint="0.59968871120334488"/>
        <bgColor rgb="FF9999FF"/>
      </patternFill>
    </fill>
    <fill>
      <patternFill patternType="solid">
        <fgColor rgb="FF2F75B5"/>
        <bgColor rgb="FF4F81BD"/>
      </patternFill>
    </fill>
    <fill>
      <patternFill patternType="solid">
        <fgColor theme="5"/>
        <bgColor rgb="FF993366"/>
      </patternFill>
    </fill>
    <fill>
      <patternFill patternType="solid">
        <fgColor rgb="FFFFF2CC"/>
        <bgColor rgb="FFFFFFFF"/>
      </patternFill>
    </fill>
    <fill>
      <patternFill patternType="solid">
        <fgColor theme="0"/>
        <bgColor rgb="FFFFF2CC"/>
      </patternFill>
    </fill>
    <fill>
      <patternFill patternType="solid">
        <fgColor rgb="FFD9D9D9"/>
        <bgColor rgb="FFD7E4BD"/>
      </patternFill>
    </fill>
    <fill>
      <patternFill patternType="solid">
        <fgColor rgb="FFFFFF00"/>
        <bgColor rgb="FFFFFF00"/>
      </patternFill>
    </fill>
    <fill>
      <patternFill patternType="solid">
        <fgColor theme="2"/>
        <bgColor indexed="64"/>
      </patternFill>
    </fill>
    <fill>
      <patternFill patternType="solid">
        <fgColor theme="7" tint="0.39997558519241921"/>
        <bgColor indexed="64"/>
      </patternFill>
    </fill>
    <fill>
      <patternFill patternType="solid">
        <fgColor theme="0"/>
        <bgColor rgb="FF4F81BD"/>
      </patternFill>
    </fill>
    <fill>
      <patternFill patternType="solid">
        <fgColor theme="0"/>
        <bgColor indexed="64"/>
      </patternFill>
    </fill>
    <fill>
      <patternFill patternType="solid">
        <fgColor theme="0"/>
        <bgColor rgb="FFFFFFFF"/>
      </patternFill>
    </fill>
    <fill>
      <patternFill patternType="solid">
        <fgColor rgb="FFFFFF00"/>
        <bgColor indexed="64"/>
      </patternFill>
    </fill>
    <fill>
      <patternFill patternType="solid">
        <fgColor theme="0"/>
        <bgColor rgb="FF993366"/>
      </patternFill>
    </fill>
    <fill>
      <patternFill patternType="solid">
        <fgColor rgb="FF0070C0"/>
        <bgColor indexed="64"/>
      </patternFill>
    </fill>
    <fill>
      <patternFill patternType="solid">
        <fgColor rgb="FFC00000"/>
        <bgColor indexed="64"/>
      </patternFill>
    </fill>
    <fill>
      <patternFill patternType="solid">
        <fgColor theme="8"/>
        <bgColor indexed="64"/>
      </patternFill>
    </fill>
  </fills>
  <borders count="14">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style="thin">
        <color auto="1"/>
      </left>
      <right style="thin">
        <color auto="1"/>
      </right>
      <top style="thin">
        <color auto="1"/>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bottom/>
      <diagonal/>
    </border>
    <border>
      <left style="thin">
        <color auto="1"/>
      </left>
      <right style="thin">
        <color auto="1"/>
      </right>
      <top/>
      <bottom style="thin">
        <color auto="1"/>
      </bottom>
      <diagonal/>
    </border>
    <border>
      <left style="thin">
        <color auto="1"/>
      </left>
      <right/>
      <top/>
      <bottom/>
      <diagonal/>
    </border>
    <border>
      <left style="thin">
        <color auto="1"/>
      </left>
      <right/>
      <top style="thin">
        <color auto="1"/>
      </top>
      <bottom/>
      <diagonal/>
    </border>
    <border>
      <left style="thin">
        <color auto="1"/>
      </left>
      <right/>
      <top/>
      <bottom style="thin">
        <color auto="1"/>
      </bottom>
      <diagonal/>
    </border>
    <border>
      <left/>
      <right style="thin">
        <color auto="1"/>
      </right>
      <top style="thin">
        <color auto="1"/>
      </top>
      <bottom/>
      <diagonal/>
    </border>
    <border>
      <left/>
      <right style="thin">
        <color auto="1"/>
      </right>
      <top/>
      <bottom style="thin">
        <color auto="1"/>
      </bottom>
      <diagonal/>
    </border>
    <border>
      <left/>
      <right/>
      <top style="thin">
        <color auto="1"/>
      </top>
      <bottom/>
      <diagonal/>
    </border>
  </borders>
  <cellStyleXfs count="2">
    <xf numFmtId="0" fontId="0" fillId="0" borderId="0"/>
    <xf numFmtId="43" fontId="18" fillId="0" borderId="0" applyFont="0" applyFill="0" applyBorder="0" applyAlignment="0" applyProtection="0"/>
  </cellStyleXfs>
  <cellXfs count="196">
    <xf numFmtId="0" fontId="0" fillId="0" borderId="0" xfId="0"/>
    <xf numFmtId="0" fontId="1" fillId="2" borderId="1" xfId="0" applyFont="1" applyFill="1" applyBorder="1"/>
    <xf numFmtId="0" fontId="3" fillId="5" borderId="1" xfId="0" applyFont="1" applyFill="1" applyBorder="1" applyAlignment="1">
      <alignment horizontal="center"/>
    </xf>
    <xf numFmtId="0" fontId="0" fillId="6" borderId="1" xfId="0" applyFill="1" applyBorder="1" applyAlignment="1">
      <alignment horizontal="center"/>
    </xf>
    <xf numFmtId="0" fontId="0" fillId="7" borderId="1" xfId="0" applyFill="1" applyBorder="1" applyAlignment="1">
      <alignment horizontal="center"/>
    </xf>
    <xf numFmtId="0" fontId="0" fillId="0" borderId="1" xfId="0" applyBorder="1"/>
    <xf numFmtId="3" fontId="0" fillId="0" borderId="1" xfId="0" applyNumberFormat="1" applyBorder="1"/>
    <xf numFmtId="0" fontId="2" fillId="0" borderId="1" xfId="0" applyFont="1" applyBorder="1"/>
    <xf numFmtId="0" fontId="7" fillId="0" borderId="0" xfId="0" applyFont="1"/>
    <xf numFmtId="0" fontId="5" fillId="0" borderId="1" xfId="0" applyFont="1" applyBorder="1" applyAlignment="1">
      <alignment horizontal="center" vertical="center" wrapText="1"/>
    </xf>
    <xf numFmtId="0" fontId="8" fillId="0" borderId="0" xfId="0" applyFont="1"/>
    <xf numFmtId="0" fontId="0" fillId="0" borderId="1" xfId="0" applyBorder="1" applyAlignment="1">
      <alignment vertical="center" wrapText="1"/>
    </xf>
    <xf numFmtId="0" fontId="9" fillId="0" borderId="1" xfId="0" applyFont="1" applyBorder="1" applyAlignment="1">
      <alignment vertical="center" wrapText="1"/>
    </xf>
    <xf numFmtId="0" fontId="9" fillId="0" borderId="1" xfId="0" applyFont="1" applyBorder="1"/>
    <xf numFmtId="0" fontId="10" fillId="9" borderId="1" xfId="0" applyFont="1" applyFill="1" applyBorder="1" applyAlignment="1">
      <alignment horizontal="center" vertical="center" wrapText="1"/>
    </xf>
    <xf numFmtId="0" fontId="1" fillId="10" borderId="0" xfId="0" applyFont="1" applyFill="1"/>
    <xf numFmtId="0" fontId="11" fillId="5" borderId="0" xfId="0" applyFont="1" applyFill="1"/>
    <xf numFmtId="0" fontId="10" fillId="9" borderId="2" xfId="0" applyFont="1" applyFill="1" applyBorder="1" applyAlignment="1">
      <alignment horizontal="center" vertical="center" wrapText="1"/>
    </xf>
    <xf numFmtId="15" fontId="0" fillId="0" borderId="1" xfId="0" applyNumberFormat="1" applyBorder="1" applyAlignment="1">
      <alignment horizontal="center" vertical="center"/>
    </xf>
    <xf numFmtId="0" fontId="0" fillId="11" borderId="1" xfId="0" applyFill="1" applyBorder="1"/>
    <xf numFmtId="14" fontId="0" fillId="0" borderId="0" xfId="0" applyNumberFormat="1"/>
    <xf numFmtId="0" fontId="5" fillId="0" borderId="0" xfId="0" applyFont="1" applyAlignment="1">
      <alignment horizontal="right"/>
    </xf>
    <xf numFmtId="0" fontId="0" fillId="0" borderId="1" xfId="0" applyBorder="1" applyAlignment="1">
      <alignment horizontal="center"/>
    </xf>
    <xf numFmtId="0" fontId="3" fillId="10" borderId="0" xfId="0" applyFont="1" applyFill="1" applyAlignment="1">
      <alignment vertical="center"/>
    </xf>
    <xf numFmtId="0" fontId="12" fillId="0" borderId="0" xfId="0" applyFont="1" applyAlignment="1">
      <alignment vertical="center"/>
    </xf>
    <xf numFmtId="0" fontId="10" fillId="9" borderId="3" xfId="0" applyFont="1" applyFill="1" applyBorder="1" applyAlignment="1">
      <alignment horizontal="center" vertical="center" wrapText="1"/>
    </xf>
    <xf numFmtId="0" fontId="2" fillId="0" borderId="1" xfId="0" applyFont="1" applyBorder="1" applyAlignment="1">
      <alignment horizontal="center" vertical="center" wrapText="1"/>
    </xf>
    <xf numFmtId="0" fontId="2" fillId="0" borderId="3" xfId="0" applyFont="1" applyBorder="1" applyAlignment="1">
      <alignment horizontal="center" vertical="center" wrapText="1"/>
    </xf>
    <xf numFmtId="0" fontId="0" fillId="0" borderId="4" xfId="0" applyBorder="1"/>
    <xf numFmtId="0" fontId="5" fillId="0" borderId="0" xfId="0" applyFont="1"/>
    <xf numFmtId="0" fontId="2" fillId="0" borderId="0" xfId="0" applyFont="1" applyAlignment="1">
      <alignment horizontal="center" vertical="center" wrapText="1"/>
    </xf>
    <xf numFmtId="0" fontId="11" fillId="10" borderId="0" xfId="0" applyFont="1" applyFill="1" applyAlignment="1">
      <alignment vertical="center"/>
    </xf>
    <xf numFmtId="0" fontId="5" fillId="11" borderId="0" xfId="0" applyFont="1" applyFill="1"/>
    <xf numFmtId="0" fontId="1" fillId="10" borderId="0" xfId="0" applyFont="1" applyFill="1" applyAlignment="1">
      <alignment vertical="center"/>
    </xf>
    <xf numFmtId="0" fontId="0" fillId="0" borderId="3" xfId="0" applyBorder="1"/>
    <xf numFmtId="0" fontId="0" fillId="11" borderId="3" xfId="0" applyFill="1" applyBorder="1"/>
    <xf numFmtId="3" fontId="0" fillId="11" borderId="1" xfId="0" applyNumberFormat="1" applyFill="1" applyBorder="1"/>
    <xf numFmtId="0" fontId="3" fillId="10" borderId="0" xfId="0" applyFont="1" applyFill="1"/>
    <xf numFmtId="0" fontId="13" fillId="9" borderId="1" xfId="0" applyFont="1" applyFill="1" applyBorder="1" applyAlignment="1">
      <alignment horizontal="center" vertical="center" wrapText="1"/>
    </xf>
    <xf numFmtId="0" fontId="14" fillId="10" borderId="0" xfId="0" applyFont="1" applyFill="1" applyAlignment="1">
      <alignment vertical="center"/>
    </xf>
    <xf numFmtId="14" fontId="0" fillId="0" borderId="1" xfId="0" applyNumberFormat="1" applyBorder="1" applyAlignment="1">
      <alignment horizontal="center"/>
    </xf>
    <xf numFmtId="0" fontId="0" fillId="0" borderId="1" xfId="0" applyBorder="1" applyAlignment="1">
      <alignment horizontal="right"/>
    </xf>
    <xf numFmtId="14" fontId="0" fillId="0" borderId="1" xfId="0" applyNumberFormat="1" applyBorder="1" applyAlignment="1">
      <alignment horizontal="center" vertical="center"/>
    </xf>
    <xf numFmtId="0" fontId="15" fillId="10" borderId="0" xfId="0" applyFont="1" applyFill="1" applyAlignment="1">
      <alignment vertical="center"/>
    </xf>
    <xf numFmtId="3" fontId="0" fillId="0" borderId="0" xfId="0" applyNumberFormat="1"/>
    <xf numFmtId="0" fontId="16" fillId="10" borderId="0" xfId="0" applyFont="1" applyFill="1" applyAlignment="1">
      <alignment vertical="center"/>
    </xf>
    <xf numFmtId="0" fontId="0" fillId="0" borderId="0" xfId="0" applyAlignment="1">
      <alignment horizontal="right"/>
    </xf>
    <xf numFmtId="0" fontId="3" fillId="10" borderId="0" xfId="0" applyFont="1" applyFill="1" applyAlignment="1">
      <alignment horizontal="center" vertical="center"/>
    </xf>
    <xf numFmtId="0" fontId="11" fillId="5" borderId="1" xfId="0" applyFont="1" applyFill="1" applyBorder="1"/>
    <xf numFmtId="0" fontId="11" fillId="5" borderId="3" xfId="0" applyFont="1" applyFill="1" applyBorder="1"/>
    <xf numFmtId="0" fontId="3" fillId="10" borderId="1" xfId="0" applyFont="1" applyFill="1" applyBorder="1" applyAlignment="1">
      <alignment vertical="center"/>
    </xf>
    <xf numFmtId="0" fontId="1" fillId="10" borderId="1" xfId="0" applyFont="1" applyFill="1" applyBorder="1" applyAlignment="1">
      <alignment vertical="center"/>
    </xf>
    <xf numFmtId="14" fontId="0" fillId="0" borderId="1" xfId="0" applyNumberFormat="1" applyBorder="1"/>
    <xf numFmtId="14" fontId="0" fillId="0" borderId="1" xfId="0" applyNumberFormat="1" applyBorder="1" applyAlignment="1">
      <alignment horizontal="right" vertical="center"/>
    </xf>
    <xf numFmtId="0" fontId="11" fillId="10" borderId="1" xfId="0" applyFont="1" applyFill="1" applyBorder="1" applyAlignment="1">
      <alignment vertical="center"/>
    </xf>
    <xf numFmtId="0" fontId="6" fillId="9" borderId="1" xfId="0" applyFont="1" applyFill="1" applyBorder="1" applyAlignment="1">
      <alignment horizontal="center" vertical="center" wrapText="1"/>
    </xf>
    <xf numFmtId="0" fontId="2" fillId="11" borderId="1" xfId="0" applyFont="1" applyFill="1" applyBorder="1"/>
    <xf numFmtId="0" fontId="2" fillId="0" borderId="0" xfId="0" applyFont="1"/>
    <xf numFmtId="0" fontId="3" fillId="10" borderId="1" xfId="0" applyFont="1" applyFill="1" applyBorder="1" applyAlignment="1">
      <alignment horizontal="center" vertical="center"/>
    </xf>
    <xf numFmtId="0" fontId="6" fillId="9" borderId="1" xfId="0" applyFont="1" applyFill="1" applyBorder="1" applyAlignment="1">
      <alignment horizontal="right" vertical="center" wrapText="1"/>
    </xf>
    <xf numFmtId="0" fontId="2" fillId="12" borderId="1" xfId="0" applyFont="1" applyFill="1" applyBorder="1" applyAlignment="1">
      <alignment horizontal="left" vertical="center" wrapText="1"/>
    </xf>
    <xf numFmtId="0" fontId="2" fillId="12" borderId="1" xfId="0" applyFont="1" applyFill="1" applyBorder="1" applyAlignment="1">
      <alignment horizontal="right" vertical="center" wrapText="1"/>
    </xf>
    <xf numFmtId="0" fontId="6" fillId="12" borderId="1" xfId="0" applyFont="1" applyFill="1" applyBorder="1" applyAlignment="1">
      <alignment horizontal="right" vertical="center" wrapText="1"/>
    </xf>
    <xf numFmtId="0" fontId="2" fillId="11" borderId="1" xfId="0" applyFont="1" applyFill="1" applyBorder="1" applyAlignment="1">
      <alignment horizontal="right" vertical="center" wrapText="1"/>
    </xf>
    <xf numFmtId="0" fontId="2" fillId="0" borderId="1" xfId="0" applyFont="1" applyBorder="1" applyAlignment="1">
      <alignment horizontal="right" vertical="center" wrapText="1"/>
    </xf>
    <xf numFmtId="0" fontId="0" fillId="0" borderId="5" xfId="0" applyBorder="1"/>
    <xf numFmtId="0" fontId="0" fillId="11" borderId="1" xfId="0" applyFill="1" applyBorder="1" applyAlignment="1">
      <alignment horizontal="right"/>
    </xf>
    <xf numFmtId="0" fontId="7" fillId="13" borderId="0" xfId="0" applyFont="1" applyFill="1"/>
    <xf numFmtId="0" fontId="9" fillId="0" borderId="0" xfId="0" applyFont="1"/>
    <xf numFmtId="0" fontId="9" fillId="14" borderId="0" xfId="0" applyFont="1" applyFill="1"/>
    <xf numFmtId="0" fontId="17" fillId="0" borderId="0" xfId="0" applyFont="1"/>
    <xf numFmtId="0" fontId="0" fillId="0" borderId="0" xfId="0" applyAlignment="1">
      <alignment horizontal="center" vertical="center"/>
    </xf>
    <xf numFmtId="0" fontId="20" fillId="15" borderId="0" xfId="0" applyFont="1" applyFill="1" applyAlignment="1">
      <alignment horizontal="right"/>
    </xf>
    <xf numFmtId="0" fontId="20" fillId="15" borderId="0" xfId="0" applyFont="1" applyFill="1"/>
    <xf numFmtId="43" fontId="0" fillId="0" borderId="0" xfId="1" applyFont="1"/>
    <xf numFmtId="43" fontId="0" fillId="0" borderId="0" xfId="0" applyNumberFormat="1"/>
    <xf numFmtId="0" fontId="0" fillId="0" borderId="7" xfId="0" applyBorder="1" applyAlignment="1">
      <alignment horizontal="center" vertical="center"/>
    </xf>
    <xf numFmtId="0" fontId="0" fillId="0" borderId="7" xfId="0" applyBorder="1"/>
    <xf numFmtId="0" fontId="20" fillId="0" borderId="0" xfId="0" applyFont="1"/>
    <xf numFmtId="0" fontId="20" fillId="0" borderId="0" xfId="0" applyFont="1" applyAlignment="1">
      <alignment horizontal="right"/>
    </xf>
    <xf numFmtId="0" fontId="0" fillId="0" borderId="1" xfId="0" applyBorder="1" applyAlignment="1">
      <alignment horizontal="center" vertical="center"/>
    </xf>
    <xf numFmtId="3" fontId="0" fillId="11" borderId="0" xfId="0" applyNumberFormat="1" applyFill="1"/>
    <xf numFmtId="43" fontId="0" fillId="0" borderId="1" xfId="1" applyFont="1" applyBorder="1"/>
    <xf numFmtId="0" fontId="20" fillId="17" borderId="1" xfId="0" applyFont="1" applyFill="1" applyBorder="1" applyAlignment="1">
      <alignment horizontal="center" vertical="center" wrapText="1"/>
    </xf>
    <xf numFmtId="0" fontId="21" fillId="17" borderId="1" xfId="0" applyFont="1" applyFill="1" applyBorder="1" applyAlignment="1">
      <alignment horizontal="center" vertical="center" wrapText="1"/>
    </xf>
    <xf numFmtId="0" fontId="5" fillId="17" borderId="1" xfId="0" applyFont="1" applyFill="1" applyBorder="1" applyAlignment="1">
      <alignment horizontal="center" vertical="center" wrapText="1"/>
    </xf>
    <xf numFmtId="0" fontId="21" fillId="17" borderId="1" xfId="0" applyFont="1" applyFill="1" applyBorder="1" applyAlignment="1">
      <alignment horizontal="right" wrapText="1"/>
    </xf>
    <xf numFmtId="0" fontId="20" fillId="17" borderId="1" xfId="0" applyFont="1" applyFill="1" applyBorder="1" applyAlignment="1">
      <alignment horizontal="right" wrapText="1"/>
    </xf>
    <xf numFmtId="0" fontId="21" fillId="18" borderId="1" xfId="0" applyFont="1" applyFill="1" applyBorder="1" applyAlignment="1">
      <alignment horizontal="right"/>
    </xf>
    <xf numFmtId="0" fontId="21" fillId="19" borderId="1" xfId="0" applyFont="1" applyFill="1" applyBorder="1" applyAlignment="1">
      <alignment horizontal="right"/>
    </xf>
    <xf numFmtId="0" fontId="21" fillId="18" borderId="1" xfId="0" applyFont="1" applyFill="1" applyBorder="1" applyAlignment="1">
      <alignment horizontal="center" vertical="center"/>
    </xf>
    <xf numFmtId="0" fontId="21" fillId="17" borderId="1" xfId="0" applyFont="1" applyFill="1" applyBorder="1" applyAlignment="1">
      <alignment horizontal="left" vertical="top" wrapText="1"/>
    </xf>
    <xf numFmtId="0" fontId="21" fillId="18" borderId="1" xfId="0" applyFont="1" applyFill="1" applyBorder="1" applyAlignment="1">
      <alignment horizontal="left" vertical="top"/>
    </xf>
    <xf numFmtId="43" fontId="0" fillId="0" borderId="0" xfId="1" applyFont="1" applyBorder="1"/>
    <xf numFmtId="0" fontId="5" fillId="9" borderId="1" xfId="0" applyFont="1" applyFill="1" applyBorder="1" applyAlignment="1">
      <alignment horizontal="center" vertical="center" wrapText="1"/>
    </xf>
    <xf numFmtId="43" fontId="0" fillId="0" borderId="8" xfId="1" applyFont="1" applyFill="1" applyBorder="1"/>
    <xf numFmtId="14" fontId="0" fillId="0" borderId="0" xfId="0" applyNumberFormat="1" applyAlignment="1">
      <alignment horizontal="center" vertical="center"/>
    </xf>
    <xf numFmtId="43" fontId="0" fillId="0" borderId="1" xfId="1" applyFont="1" applyFill="1" applyBorder="1"/>
    <xf numFmtId="14" fontId="2" fillId="0" borderId="1" xfId="0" applyNumberFormat="1" applyFont="1" applyBorder="1" applyAlignment="1">
      <alignment horizontal="center" vertical="center"/>
    </xf>
    <xf numFmtId="0" fontId="0" fillId="0" borderId="1" xfId="0" applyBorder="1" applyAlignment="1">
      <alignment vertical="center"/>
    </xf>
    <xf numFmtId="43" fontId="0" fillId="0" borderId="1" xfId="1" applyFont="1" applyBorder="1" applyAlignment="1">
      <alignment horizontal="center" vertical="center"/>
    </xf>
    <xf numFmtId="43" fontId="0" fillId="0" borderId="1" xfId="1" applyFont="1" applyBorder="1" applyAlignment="1">
      <alignment horizontal="right" vertical="center"/>
    </xf>
    <xf numFmtId="0" fontId="5" fillId="17" borderId="3" xfId="0" applyFont="1" applyFill="1" applyBorder="1" applyAlignment="1">
      <alignment horizontal="center" vertical="center" wrapText="1"/>
    </xf>
    <xf numFmtId="14" fontId="5" fillId="17" borderId="1" xfId="0" applyNumberFormat="1" applyFont="1" applyFill="1" applyBorder="1" applyAlignment="1">
      <alignment horizontal="center" vertical="center" wrapText="1"/>
    </xf>
    <xf numFmtId="0" fontId="10" fillId="9" borderId="3" xfId="0" applyFont="1" applyFill="1" applyBorder="1" applyAlignment="1">
      <alignment vertical="center" wrapText="1"/>
    </xf>
    <xf numFmtId="0" fontId="10" fillId="9" borderId="1" xfId="0" applyFont="1" applyFill="1" applyBorder="1" applyAlignment="1">
      <alignment vertical="center" wrapText="1"/>
    </xf>
    <xf numFmtId="0" fontId="5" fillId="0" borderId="0" xfId="0" applyFont="1" applyAlignment="1">
      <alignment horizontal="center" vertical="center"/>
    </xf>
    <xf numFmtId="43" fontId="0" fillId="0" borderId="1" xfId="1" applyFont="1" applyFill="1" applyBorder="1" applyAlignment="1">
      <alignment horizontal="center" vertical="center"/>
    </xf>
    <xf numFmtId="43" fontId="0" fillId="0" borderId="8" xfId="1" applyFont="1" applyFill="1" applyBorder="1" applyAlignment="1">
      <alignment horizontal="center" vertical="center"/>
    </xf>
    <xf numFmtId="0" fontId="10" fillId="9" borderId="2" xfId="0" applyFont="1" applyFill="1" applyBorder="1" applyAlignment="1">
      <alignment vertical="center" wrapText="1"/>
    </xf>
    <xf numFmtId="0" fontId="0" fillId="11" borderId="1" xfId="0" applyFill="1" applyBorder="1" applyAlignment="1">
      <alignment vertical="center"/>
    </xf>
    <xf numFmtId="0" fontId="0" fillId="0" borderId="1" xfId="0" applyBorder="1" applyAlignment="1">
      <alignment horizontal="left" vertical="center"/>
    </xf>
    <xf numFmtId="0" fontId="0" fillId="0" borderId="0" xfId="0" applyAlignment="1">
      <alignment horizontal="left"/>
    </xf>
    <xf numFmtId="0" fontId="10" fillId="9" borderId="1" xfId="0" applyFont="1" applyFill="1" applyBorder="1" applyAlignment="1">
      <alignment horizontal="left" vertical="center" wrapText="1"/>
    </xf>
    <xf numFmtId="0" fontId="0" fillId="0" borderId="1" xfId="0" applyBorder="1" applyAlignment="1">
      <alignment horizontal="left"/>
    </xf>
    <xf numFmtId="14" fontId="0" fillId="0" borderId="0" xfId="0" applyNumberFormat="1" applyAlignment="1">
      <alignment horizontal="left"/>
    </xf>
    <xf numFmtId="14" fontId="0" fillId="0" borderId="1" xfId="0" applyNumberFormat="1" applyBorder="1" applyAlignment="1">
      <alignment horizontal="left"/>
    </xf>
    <xf numFmtId="43" fontId="0" fillId="0" borderId="1" xfId="1" applyFont="1" applyBorder="1" applyAlignment="1">
      <alignment horizontal="center"/>
    </xf>
    <xf numFmtId="0" fontId="0" fillId="0" borderId="1" xfId="0" applyBorder="1" applyAlignment="1">
      <alignment horizontal="left" wrapText="1"/>
    </xf>
    <xf numFmtId="14" fontId="20" fillId="0" borderId="1" xfId="0" applyNumberFormat="1" applyFont="1" applyBorder="1" applyAlignment="1">
      <alignment horizontal="left"/>
    </xf>
    <xf numFmtId="43" fontId="20" fillId="0" borderId="1" xfId="1" applyFont="1" applyBorder="1" applyAlignment="1">
      <alignment horizontal="center" vertical="center"/>
    </xf>
    <xf numFmtId="43" fontId="10" fillId="9" borderId="1" xfId="1" applyFont="1" applyFill="1" applyBorder="1" applyAlignment="1">
      <alignment horizontal="center" vertical="center" wrapText="1"/>
    </xf>
    <xf numFmtId="43" fontId="5" fillId="0" borderId="0" xfId="1" applyFont="1" applyAlignment="1">
      <alignment horizontal="right"/>
    </xf>
    <xf numFmtId="43" fontId="10" fillId="9" borderId="3" xfId="1" applyFont="1" applyFill="1" applyBorder="1" applyAlignment="1">
      <alignment horizontal="center" vertical="center" wrapText="1"/>
    </xf>
    <xf numFmtId="43" fontId="0" fillId="0" borderId="4" xfId="1" applyFont="1" applyBorder="1"/>
    <xf numFmtId="0" fontId="5" fillId="17" borderId="1" xfId="0" applyFont="1" applyFill="1" applyBorder="1" applyAlignment="1">
      <alignment horizontal="left" vertical="center" wrapText="1"/>
    </xf>
    <xf numFmtId="43" fontId="5" fillId="17" borderId="3" xfId="1" applyFont="1" applyFill="1" applyBorder="1" applyAlignment="1">
      <alignment horizontal="center" vertical="center" wrapText="1"/>
    </xf>
    <xf numFmtId="43" fontId="0" fillId="0" borderId="0" xfId="1" applyFont="1" applyAlignment="1">
      <alignment horizontal="center" vertical="center"/>
    </xf>
    <xf numFmtId="43" fontId="0" fillId="0" borderId="0" xfId="1" applyFont="1" applyAlignment="1">
      <alignment horizontal="center"/>
    </xf>
    <xf numFmtId="43" fontId="5" fillId="17" borderId="1" xfId="1" applyFont="1" applyFill="1" applyBorder="1" applyAlignment="1">
      <alignment vertical="center" wrapText="1"/>
    </xf>
    <xf numFmtId="43" fontId="0" fillId="20" borderId="0" xfId="0" applyNumberFormat="1" applyFill="1"/>
    <xf numFmtId="43" fontId="20" fillId="20" borderId="0" xfId="1" applyFont="1" applyFill="1"/>
    <xf numFmtId="14" fontId="0" fillId="0" borderId="0" xfId="0" applyNumberFormat="1" applyAlignment="1">
      <alignment horizontal="right" vertical="center"/>
    </xf>
    <xf numFmtId="14" fontId="0" fillId="0" borderId="1" xfId="0" applyNumberFormat="1" applyBorder="1" applyAlignment="1">
      <alignment horizontal="right"/>
    </xf>
    <xf numFmtId="43" fontId="2" fillId="0" borderId="1" xfId="1" applyFont="1" applyBorder="1"/>
    <xf numFmtId="43" fontId="0" fillId="20" borderId="0" xfId="1" applyFont="1" applyFill="1"/>
    <xf numFmtId="0" fontId="0" fillId="20" borderId="1" xfId="0" applyFill="1" applyBorder="1"/>
    <xf numFmtId="0" fontId="0" fillId="20" borderId="1" xfId="0" applyFill="1" applyBorder="1" applyAlignment="1">
      <alignment horizontal="center" vertical="center"/>
    </xf>
    <xf numFmtId="43" fontId="0" fillId="20" borderId="1" xfId="1" applyFont="1" applyFill="1" applyBorder="1"/>
    <xf numFmtId="43" fontId="0" fillId="20" borderId="1" xfId="1" applyFont="1" applyFill="1" applyBorder="1" applyAlignment="1">
      <alignment horizontal="center" vertical="center"/>
    </xf>
    <xf numFmtId="43" fontId="10" fillId="9" borderId="3" xfId="1" applyFont="1" applyFill="1" applyBorder="1" applyAlignment="1">
      <alignment vertical="center" wrapText="1"/>
    </xf>
    <xf numFmtId="43" fontId="0" fillId="0" borderId="1" xfId="1" applyFont="1" applyBorder="1" applyAlignment="1">
      <alignment vertical="center"/>
    </xf>
    <xf numFmtId="43" fontId="10" fillId="9" borderId="1" xfId="1" applyFont="1" applyFill="1" applyBorder="1" applyAlignment="1">
      <alignment vertical="center" wrapText="1"/>
    </xf>
    <xf numFmtId="0" fontId="21" fillId="0" borderId="1" xfId="0" applyFont="1" applyBorder="1" applyAlignment="1">
      <alignment horizontal="center" vertical="center"/>
    </xf>
    <xf numFmtId="0" fontId="21" fillId="0" borderId="1" xfId="0" applyFont="1" applyBorder="1"/>
    <xf numFmtId="0" fontId="11" fillId="5" borderId="2" xfId="0" applyFont="1" applyFill="1" applyBorder="1"/>
    <xf numFmtId="0" fontId="11" fillId="17" borderId="0" xfId="0" applyFont="1" applyFill="1" applyAlignment="1">
      <alignment horizontal="center" vertical="center" wrapText="1"/>
    </xf>
    <xf numFmtId="0" fontId="11" fillId="21" borderId="0" xfId="0" applyFont="1" applyFill="1" applyAlignment="1">
      <alignment vertical="center"/>
    </xf>
    <xf numFmtId="4" fontId="0" fillId="0" borderId="0" xfId="0" applyNumberFormat="1"/>
    <xf numFmtId="4" fontId="0" fillId="0" borderId="1" xfId="0" applyNumberFormat="1" applyBorder="1"/>
    <xf numFmtId="0" fontId="0" fillId="18" borderId="0" xfId="0" applyFill="1"/>
    <xf numFmtId="0" fontId="23" fillId="23" borderId="1" xfId="0" applyFont="1" applyFill="1" applyBorder="1"/>
    <xf numFmtId="0" fontId="24" fillId="22" borderId="1" xfId="0" applyFont="1" applyFill="1" applyBorder="1"/>
    <xf numFmtId="0" fontId="24" fillId="22" borderId="1" xfId="0" applyFont="1" applyFill="1" applyBorder="1" applyAlignment="1">
      <alignment horizontal="right" vertical="center"/>
    </xf>
    <xf numFmtId="0" fontId="24" fillId="22" borderId="1" xfId="0" applyFont="1" applyFill="1" applyBorder="1" applyAlignment="1">
      <alignment horizontal="center" vertical="center"/>
    </xf>
    <xf numFmtId="4" fontId="0" fillId="0" borderId="1" xfId="0" applyNumberFormat="1" applyBorder="1" applyAlignment="1">
      <alignment horizontal="center" vertical="center"/>
    </xf>
    <xf numFmtId="0" fontId="19" fillId="24" borderId="1" xfId="0" applyFont="1" applyFill="1" applyBorder="1"/>
    <xf numFmtId="0" fontId="19" fillId="16" borderId="6" xfId="0" applyFont="1" applyFill="1" applyBorder="1" applyAlignment="1">
      <alignment horizontal="center" vertical="center"/>
    </xf>
    <xf numFmtId="17" fontId="0" fillId="4" borderId="1" xfId="0" applyNumberFormat="1" applyFill="1" applyBorder="1" applyAlignment="1">
      <alignment horizontal="center"/>
    </xf>
    <xf numFmtId="17" fontId="2" fillId="3" borderId="1" xfId="0" applyNumberFormat="1" applyFont="1" applyFill="1" applyBorder="1" applyAlignment="1">
      <alignment horizontal="center"/>
    </xf>
    <xf numFmtId="17" fontId="0" fillId="3" borderId="1" xfId="0" applyNumberFormat="1" applyFill="1" applyBorder="1" applyAlignment="1">
      <alignment horizontal="center"/>
    </xf>
    <xf numFmtId="17" fontId="5" fillId="7" borderId="1" xfId="0" applyNumberFormat="1" applyFont="1" applyFill="1" applyBorder="1" applyAlignment="1">
      <alignment horizontal="center"/>
    </xf>
    <xf numFmtId="0" fontId="5" fillId="0" borderId="0" xfId="0" applyFont="1" applyAlignment="1">
      <alignment horizontal="center"/>
    </xf>
    <xf numFmtId="0" fontId="5" fillId="8" borderId="1" xfId="0" applyFont="1" applyFill="1" applyBorder="1" applyAlignment="1">
      <alignment horizontal="center" vertical="center" wrapText="1"/>
    </xf>
    <xf numFmtId="17" fontId="6" fillId="7" borderId="1" xfId="0" applyNumberFormat="1" applyFont="1" applyFill="1" applyBorder="1" applyAlignment="1">
      <alignment horizontal="center"/>
    </xf>
    <xf numFmtId="17" fontId="5" fillId="6" borderId="1" xfId="0" applyNumberFormat="1" applyFont="1" applyFill="1" applyBorder="1" applyAlignment="1">
      <alignment horizontal="center"/>
    </xf>
    <xf numFmtId="0" fontId="1" fillId="10" borderId="13" xfId="0" applyFont="1" applyFill="1" applyBorder="1" applyAlignment="1">
      <alignment horizontal="center" vertical="center"/>
    </xf>
    <xf numFmtId="0" fontId="1" fillId="10" borderId="0" xfId="0" applyFont="1" applyFill="1" applyAlignment="1">
      <alignment horizontal="center" vertical="center"/>
    </xf>
    <xf numFmtId="14" fontId="0" fillId="0" borderId="3" xfId="0" applyNumberFormat="1" applyBorder="1" applyAlignment="1">
      <alignment horizontal="center" vertical="center"/>
    </xf>
    <xf numFmtId="0" fontId="0" fillId="0" borderId="7" xfId="0" applyBorder="1" applyAlignment="1">
      <alignment horizontal="center" vertical="center"/>
    </xf>
    <xf numFmtId="43" fontId="0" fillId="0" borderId="3" xfId="1" applyFont="1" applyBorder="1" applyAlignment="1">
      <alignment horizontal="center" vertical="center"/>
    </xf>
    <xf numFmtId="43" fontId="0" fillId="0" borderId="7" xfId="1" applyFont="1" applyBorder="1" applyAlignment="1">
      <alignment horizontal="center" vertical="center"/>
    </xf>
    <xf numFmtId="0" fontId="0" fillId="0" borderId="3" xfId="0" applyBorder="1" applyAlignment="1">
      <alignment horizontal="center"/>
    </xf>
    <xf numFmtId="0" fontId="0" fillId="0" borderId="7" xfId="0" applyBorder="1" applyAlignment="1">
      <alignment horizontal="center"/>
    </xf>
    <xf numFmtId="15" fontId="0" fillId="0" borderId="1" xfId="0" applyNumberFormat="1" applyBorder="1" applyAlignment="1">
      <alignment horizontal="center" vertical="center"/>
    </xf>
    <xf numFmtId="14" fontId="0" fillId="0" borderId="1" xfId="0" applyNumberFormat="1" applyBorder="1" applyAlignment="1">
      <alignment horizontal="center" vertical="center"/>
    </xf>
    <xf numFmtId="0" fontId="0" fillId="0" borderId="1" xfId="0" applyBorder="1" applyAlignment="1">
      <alignment horizontal="center" vertical="center"/>
    </xf>
    <xf numFmtId="14" fontId="0" fillId="0" borderId="7" xfId="0" applyNumberFormat="1" applyBorder="1" applyAlignment="1">
      <alignment horizontal="center" vertical="center"/>
    </xf>
    <xf numFmtId="0" fontId="0" fillId="0" borderId="3" xfId="0" applyBorder="1" applyAlignment="1">
      <alignment horizontal="center" vertical="center"/>
    </xf>
    <xf numFmtId="0" fontId="0" fillId="0" borderId="2" xfId="0" applyBorder="1" applyAlignment="1">
      <alignment horizontal="center" vertical="center"/>
    </xf>
    <xf numFmtId="43" fontId="0" fillId="0" borderId="2" xfId="1" applyFont="1" applyBorder="1" applyAlignment="1">
      <alignment horizontal="center" vertical="center"/>
    </xf>
    <xf numFmtId="43" fontId="0" fillId="0" borderId="3" xfId="1" applyFont="1" applyBorder="1" applyAlignment="1">
      <alignment vertical="center"/>
    </xf>
    <xf numFmtId="43" fontId="0" fillId="0" borderId="2" xfId="1" applyFont="1" applyBorder="1" applyAlignment="1">
      <alignment vertical="center"/>
    </xf>
    <xf numFmtId="43" fontId="0" fillId="0" borderId="7" xfId="1" applyFont="1" applyBorder="1" applyAlignment="1">
      <alignment vertical="center"/>
    </xf>
    <xf numFmtId="0" fontId="0" fillId="0" borderId="2" xfId="0" applyBorder="1" applyAlignment="1">
      <alignment horizontal="center"/>
    </xf>
    <xf numFmtId="43" fontId="0" fillId="0" borderId="3" xfId="1" applyFont="1" applyBorder="1" applyAlignment="1">
      <alignment horizontal="right" vertical="center"/>
    </xf>
    <xf numFmtId="43" fontId="0" fillId="0" borderId="7" xfId="1" applyFont="1" applyBorder="1" applyAlignment="1">
      <alignment horizontal="right" vertical="center"/>
    </xf>
    <xf numFmtId="14" fontId="0" fillId="0" borderId="9" xfId="0" applyNumberFormat="1" applyBorder="1" applyAlignment="1">
      <alignment horizontal="left" vertical="center"/>
    </xf>
    <xf numFmtId="14" fontId="0" fillId="0" borderId="10" xfId="0" applyNumberFormat="1" applyBorder="1" applyAlignment="1">
      <alignment horizontal="left" vertical="center"/>
    </xf>
    <xf numFmtId="43" fontId="0" fillId="0" borderId="11" xfId="1" applyFont="1" applyBorder="1" applyAlignment="1">
      <alignment horizontal="center" vertical="center"/>
    </xf>
    <xf numFmtId="43" fontId="0" fillId="0" borderId="12" xfId="1" applyFont="1" applyBorder="1" applyAlignment="1">
      <alignment horizontal="center" vertical="center"/>
    </xf>
    <xf numFmtId="14" fontId="0" fillId="0" borderId="2" xfId="0" applyNumberFormat="1" applyBorder="1" applyAlignment="1">
      <alignment horizontal="center" vertical="center"/>
    </xf>
    <xf numFmtId="14" fontId="21" fillId="18" borderId="3" xfId="0" applyNumberFormat="1" applyFont="1" applyFill="1" applyBorder="1" applyAlignment="1">
      <alignment horizontal="center" vertical="center"/>
    </xf>
    <xf numFmtId="14" fontId="21" fillId="18" borderId="7" xfId="0" applyNumberFormat="1" applyFont="1" applyFill="1" applyBorder="1" applyAlignment="1">
      <alignment horizontal="center" vertical="center"/>
    </xf>
    <xf numFmtId="0" fontId="3" fillId="10" borderId="13" xfId="0" applyFont="1" applyFill="1" applyBorder="1" applyAlignment="1">
      <alignment horizontal="center" vertical="center"/>
    </xf>
    <xf numFmtId="0" fontId="3" fillId="10" borderId="0" xfId="0" applyFont="1" applyFill="1" applyAlignment="1">
      <alignment horizontal="center" vertical="center"/>
    </xf>
  </cellXfs>
  <cellStyles count="2">
    <cellStyle name="Comma" xfId="1" builtinId="3"/>
    <cellStyle name="Normal" xfId="0" builtinId="0"/>
  </cellStyles>
  <dxfs count="3">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D9D9D9"/>
      <rgbColor rgb="FF808080"/>
      <rgbColor rgb="FF9999FF"/>
      <rgbColor rgb="FFC0504D"/>
      <rgbColor rgb="FFFFF2CC"/>
      <rgbColor rgb="FFCCFFFF"/>
      <rgbColor rgb="FF660066"/>
      <rgbColor rgb="FFFF8080"/>
      <rgbColor rgb="FF0066CC"/>
      <rgbColor rgb="FFC6D9F1"/>
      <rgbColor rgb="FF000080"/>
      <rgbColor rgb="FFFF00FF"/>
      <rgbColor rgb="FFFFFF00"/>
      <rgbColor rgb="FF00FFFF"/>
      <rgbColor rgb="FF800080"/>
      <rgbColor rgb="FF800000"/>
      <rgbColor rgb="FF008080"/>
      <rgbColor rgb="FF0000FF"/>
      <rgbColor rgb="FF00CCFF"/>
      <rgbColor rgb="FFCCFFFF"/>
      <rgbColor rgb="FFD7E4BD"/>
      <rgbColor rgb="FFFFFF99"/>
      <rgbColor rgb="FF8DB4E3"/>
      <rgbColor rgb="FFFF99CC"/>
      <rgbColor rgb="FFB3A2C7"/>
      <rgbColor rgb="FFFCD5B5"/>
      <rgbColor rgb="FF2F75B5"/>
      <rgbColor rgb="FF4BACC6"/>
      <rgbColor rgb="FF99CC00"/>
      <rgbColor rgb="FFFFCC00"/>
      <rgbColor rgb="FFFF9900"/>
      <rgbColor rgb="FFFF6600"/>
      <rgbColor rgb="FF4F81BD"/>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calcChain" Target="calcChain.xml"/><Relationship Id="rId8" Type="http://schemas.openxmlformats.org/officeDocument/2006/relationships/worksheet" Target="worksheets/sheet8.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0000000}" name="Table4" displayName="Table4" ref="S11:S12" totalsRowShown="0">
  <autoFilter ref="S11:S12" xr:uid="{00000000-0009-0000-0100-000003000000}"/>
  <tableColumns count="1">
    <tableColumn id="1" xr3:uid="{00000000-0010-0000-0000-000001000000}" name="Column1"/>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1000000}" name="Table2" displayName="Table2" ref="K5:K6" totalsRowShown="0">
  <autoFilter ref="K5:K6" xr:uid="{00000000-0009-0000-0100-000001000000}"/>
  <tableColumns count="1">
    <tableColumn id="1" xr3:uid="{00000000-0010-0000-0100-000001000000}" name="Column1"/>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2000000}" name="Table3" displayName="Table3" ref="L6:O7" totalsRowShown="0">
  <autoFilter ref="L6:O7" xr:uid="{00000000-0009-0000-0100-000002000000}"/>
  <tableColumns count="4">
    <tableColumn id="1" xr3:uid="{00000000-0010-0000-0200-000001000000}" name="Total Amount After Discount"/>
    <tableColumn id="2" xr3:uid="{00000000-0010-0000-0200-000002000000}" name="Collection Date" dataDxfId="2"/>
    <tableColumn id="3" xr3:uid="{00000000-0010-0000-0200-000003000000}" name="Collection Amount" dataDxfId="1"/>
    <tableColumn id="4" xr3:uid="{00000000-0010-0000-0200-000004000000}" name="Remarks" dataDxfId="0"/>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table" Target="../tables/table1.xml"/><Relationship Id="rId1"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6.xml.rels><?xml version="1.0" encoding="UTF-8" standalone="yes"?>
<Relationships xmlns="http://schemas.openxmlformats.org/package/2006/relationships"><Relationship Id="rId1" Type="http://schemas.openxmlformats.org/officeDocument/2006/relationships/table" Target="../tables/table3.xml"/></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4:S35"/>
  <sheetViews>
    <sheetView topLeftCell="C14" zoomScaleNormal="100" workbookViewId="0">
      <selection activeCell="C33" sqref="C33"/>
    </sheetView>
  </sheetViews>
  <sheetFormatPr defaultColWidth="8.7109375" defaultRowHeight="15" x14ac:dyDescent="0.25"/>
  <cols>
    <col min="3" max="3" width="39.85546875" customWidth="1"/>
    <col min="4" max="4" width="10.28515625" customWidth="1"/>
    <col min="5" max="5" width="12.42578125" customWidth="1"/>
    <col min="6" max="6" width="16.42578125" customWidth="1"/>
    <col min="7" max="7" width="10.28515625" customWidth="1"/>
    <col min="8" max="8" width="12.42578125" customWidth="1"/>
    <col min="9" max="9" width="13.140625" customWidth="1"/>
    <col min="10" max="10" width="11.7109375" bestFit="1" customWidth="1"/>
    <col min="11" max="11" width="12.42578125" customWidth="1"/>
    <col min="12" max="12" width="13.140625" customWidth="1"/>
    <col min="13" max="13" width="10.28515625" customWidth="1"/>
    <col min="14" max="14" width="12.42578125" customWidth="1"/>
    <col min="15" max="15" width="13.140625" customWidth="1"/>
    <col min="16" max="16" width="10.28515625" customWidth="1"/>
    <col min="17" max="17" width="12.42578125" bestFit="1" customWidth="1"/>
    <col min="18" max="18" width="13.140625" bestFit="1" customWidth="1"/>
    <col min="19" max="19" width="12.85546875" customWidth="1"/>
  </cols>
  <sheetData>
    <row r="4" spans="2:19" ht="15.75" customHeight="1" x14ac:dyDescent="0.25">
      <c r="B4" s="157" t="s">
        <v>129</v>
      </c>
      <c r="C4" s="1" t="s">
        <v>0</v>
      </c>
      <c r="D4" s="159">
        <v>46113</v>
      </c>
      <c r="E4" s="159"/>
      <c r="F4" s="159"/>
      <c r="G4" s="158">
        <v>46143</v>
      </c>
      <c r="H4" s="158"/>
      <c r="I4" s="158"/>
      <c r="J4" s="160">
        <v>46174</v>
      </c>
      <c r="K4" s="160"/>
      <c r="L4" s="160"/>
      <c r="M4" s="158">
        <v>46204</v>
      </c>
      <c r="N4" s="158"/>
      <c r="O4" s="158"/>
      <c r="P4" s="158">
        <v>46235</v>
      </c>
      <c r="Q4" s="158"/>
      <c r="R4" s="158"/>
    </row>
    <row r="5" spans="2:19" ht="18.75" customHeight="1" x14ac:dyDescent="0.3">
      <c r="B5" s="157"/>
      <c r="C5" s="2" t="s">
        <v>1</v>
      </c>
      <c r="D5" s="3" t="s">
        <v>2</v>
      </c>
      <c r="E5" s="3" t="s">
        <v>3</v>
      </c>
      <c r="F5" s="3" t="s">
        <v>4</v>
      </c>
      <c r="G5" s="4" t="s">
        <v>2</v>
      </c>
      <c r="H5" s="4" t="s">
        <v>3</v>
      </c>
      <c r="I5" s="4" t="s">
        <v>4</v>
      </c>
      <c r="J5" s="3" t="s">
        <v>2</v>
      </c>
      <c r="K5" s="3" t="s">
        <v>3</v>
      </c>
      <c r="L5" s="4" t="s">
        <v>4</v>
      </c>
      <c r="M5" s="4" t="s">
        <v>2</v>
      </c>
      <c r="N5" s="4" t="s">
        <v>3</v>
      </c>
      <c r="O5" s="4" t="s">
        <v>4</v>
      </c>
      <c r="P5" s="4" t="s">
        <v>2</v>
      </c>
      <c r="Q5" s="4" t="s">
        <v>3</v>
      </c>
      <c r="R5" s="4" t="s">
        <v>4</v>
      </c>
    </row>
    <row r="6" spans="2:19" x14ac:dyDescent="0.25">
      <c r="B6" s="71">
        <v>1</v>
      </c>
      <c r="C6" s="5" t="s">
        <v>5</v>
      </c>
      <c r="D6" s="5">
        <f>'ARK Hospital'!G8</f>
        <v>60700</v>
      </c>
      <c r="E6" s="5">
        <f>'ARK Hospital'!H8</f>
        <v>60700</v>
      </c>
      <c r="F6" s="5">
        <f t="shared" ref="F6:F30" si="0">IF(AND(D6="", E6=""), "", D6-E6)</f>
        <v>0</v>
      </c>
      <c r="G6" s="5">
        <f>'ARK Hospital'!G18</f>
        <v>163500</v>
      </c>
      <c r="H6" s="5">
        <f>'ARK Hospital'!H18</f>
        <v>163500</v>
      </c>
      <c r="I6" s="5">
        <f>IF(AND(G6="",H6=""),"",G6-H6)</f>
        <v>0</v>
      </c>
      <c r="J6" s="5">
        <f>'ARK Hospital'!G25</f>
        <v>142800</v>
      </c>
      <c r="K6" s="5">
        <f>'ARK Hospital'!H25</f>
        <v>142800</v>
      </c>
      <c r="L6" s="5">
        <f t="shared" ref="L6:L29" si="1">IF(AND(J6="", K6=""), "", J6-K6)</f>
        <v>0</v>
      </c>
      <c r="M6" s="5"/>
      <c r="N6" s="5"/>
      <c r="O6" s="5" t="str">
        <f>IF(AND(M6="",N6=""), "", M6-N6)</f>
        <v/>
      </c>
      <c r="P6" s="5"/>
      <c r="Q6" s="5"/>
      <c r="R6" s="5" t="str">
        <f>IF(AND(P6="",Q6=""),"", P6-Q6)</f>
        <v/>
      </c>
    </row>
    <row r="7" spans="2:19" x14ac:dyDescent="0.25">
      <c r="B7" s="71">
        <v>2</v>
      </c>
      <c r="C7" s="5" t="s">
        <v>6</v>
      </c>
      <c r="D7" s="5">
        <f>'Bismillah Surgical'!G13</f>
        <v>121200</v>
      </c>
      <c r="E7" s="5">
        <f>'Bismillah Surgical'!H13</f>
        <v>121200</v>
      </c>
      <c r="F7" s="5">
        <f t="shared" si="0"/>
        <v>0</v>
      </c>
      <c r="G7" s="5">
        <v>0</v>
      </c>
      <c r="H7" s="5">
        <v>0</v>
      </c>
      <c r="I7" s="5">
        <f>IF(AND(G7="",H7=""),"",G7-H7)</f>
        <v>0</v>
      </c>
      <c r="J7" s="5"/>
      <c r="K7" s="5"/>
      <c r="L7" s="5" t="str">
        <f t="shared" si="1"/>
        <v/>
      </c>
      <c r="M7" s="5"/>
      <c r="N7" s="5"/>
      <c r="O7" s="5"/>
      <c r="P7" s="5"/>
      <c r="Q7" s="5"/>
      <c r="R7" s="5" t="str">
        <f t="shared" ref="R7:R30" si="2">IF(AND(P7="",Q7=""),"", P7-Q7)</f>
        <v/>
      </c>
    </row>
    <row r="8" spans="2:19" x14ac:dyDescent="0.25">
      <c r="B8" s="71">
        <v>3</v>
      </c>
      <c r="C8" s="5" t="s">
        <v>7</v>
      </c>
      <c r="D8" s="5">
        <f>'Popular Medcine &amp; Departmental '!G9</f>
        <v>30987</v>
      </c>
      <c r="E8" s="5">
        <f>'Popular Medcine &amp; Departmental '!H9</f>
        <v>30987</v>
      </c>
      <c r="F8" s="5">
        <f t="shared" si="0"/>
        <v>0</v>
      </c>
      <c r="G8" s="5"/>
      <c r="H8" s="5"/>
      <c r="I8" s="5" t="str">
        <f>IF(AND(G8="",H8=""),"",G8-H8)</f>
        <v/>
      </c>
      <c r="J8" s="5">
        <f>'Popular Medcine &amp; Departmental '!G15</f>
        <v>28050</v>
      </c>
      <c r="K8" s="5">
        <f>'Popular Medcine &amp; Departmental '!H15</f>
        <v>28050</v>
      </c>
      <c r="L8" s="5">
        <f t="shared" si="1"/>
        <v>0</v>
      </c>
      <c r="M8" s="5"/>
      <c r="N8" s="5"/>
      <c r="O8" s="5" t="str">
        <f t="shared" ref="O8:O30" si="3">IF(AND(M8="",N8=""), "", M8-N8)</f>
        <v/>
      </c>
      <c r="P8" s="5">
        <f>'Popular Medcine &amp; Departmental '!G21</f>
        <v>27900</v>
      </c>
      <c r="Q8" s="5">
        <v>0</v>
      </c>
      <c r="R8" s="5">
        <f t="shared" si="2"/>
        <v>27900</v>
      </c>
    </row>
    <row r="9" spans="2:19" x14ac:dyDescent="0.25">
      <c r="B9" s="71">
        <v>4</v>
      </c>
      <c r="C9" s="5" t="s">
        <v>8</v>
      </c>
      <c r="D9" s="5">
        <f>'Kuwait Moitri Hospital'!H9</f>
        <v>27600</v>
      </c>
      <c r="E9" s="5">
        <f>'Kuwait Moitri Hospital'!I9</f>
        <v>27600</v>
      </c>
      <c r="F9" s="5">
        <f t="shared" si="0"/>
        <v>0</v>
      </c>
      <c r="G9" s="5">
        <v>0</v>
      </c>
      <c r="H9" s="5"/>
      <c r="I9" s="5">
        <v>0</v>
      </c>
      <c r="J9" s="5"/>
      <c r="K9" s="5"/>
      <c r="L9" s="5" t="str">
        <f t="shared" si="1"/>
        <v/>
      </c>
      <c r="M9" s="5"/>
      <c r="N9" s="5"/>
      <c r="O9" s="5" t="str">
        <f t="shared" si="3"/>
        <v/>
      </c>
      <c r="P9" s="5"/>
      <c r="Q9" s="5"/>
      <c r="R9" s="5" t="str">
        <f t="shared" si="2"/>
        <v/>
      </c>
    </row>
    <row r="10" spans="2:19" x14ac:dyDescent="0.25">
      <c r="B10" s="71">
        <v>5</v>
      </c>
      <c r="C10" s="5" t="s">
        <v>9</v>
      </c>
      <c r="D10" s="5">
        <f>'VIP PHARMA-HAZI PHARMA'!H8</f>
        <v>97800</v>
      </c>
      <c r="E10" s="5">
        <f>'VIP PHARMA-HAZI PHARMA'!I8</f>
        <v>97800</v>
      </c>
      <c r="F10" s="5">
        <f t="shared" si="0"/>
        <v>0</v>
      </c>
      <c r="G10" s="5"/>
      <c r="H10" s="5"/>
      <c r="I10" s="5"/>
      <c r="J10" s="5"/>
      <c r="K10" s="5"/>
      <c r="L10" s="5" t="str">
        <f t="shared" si="1"/>
        <v/>
      </c>
      <c r="M10" s="5"/>
      <c r="N10" s="5"/>
      <c r="O10" s="5" t="str">
        <f t="shared" si="3"/>
        <v/>
      </c>
      <c r="P10" s="5"/>
      <c r="Q10" s="5"/>
      <c r="R10" s="5" t="str">
        <f t="shared" si="2"/>
        <v/>
      </c>
    </row>
    <row r="11" spans="2:19" x14ac:dyDescent="0.25">
      <c r="B11" s="71">
        <v>6</v>
      </c>
      <c r="C11" s="5" t="s">
        <v>10</v>
      </c>
      <c r="D11" s="5"/>
      <c r="E11" s="5"/>
      <c r="F11" s="5" t="str">
        <f t="shared" si="0"/>
        <v/>
      </c>
      <c r="G11" s="5">
        <f>'Mr. Afjal'!H9</f>
        <v>20700</v>
      </c>
      <c r="H11" s="5">
        <f>'Mr. Afjal'!I9</f>
        <v>20700</v>
      </c>
      <c r="I11" s="5">
        <f t="shared" ref="I11:I30" si="4">IF(AND(G11="",H11=""),"",G11-H11)</f>
        <v>0</v>
      </c>
      <c r="J11" s="5"/>
      <c r="K11" s="5"/>
      <c r="L11" s="5" t="str">
        <f t="shared" si="1"/>
        <v/>
      </c>
      <c r="M11" s="5"/>
      <c r="N11" s="5"/>
      <c r="O11" s="5"/>
      <c r="P11" s="5"/>
      <c r="Q11" s="5"/>
      <c r="R11" s="5" t="str">
        <f t="shared" si="2"/>
        <v/>
      </c>
      <c r="S11" t="s">
        <v>11</v>
      </c>
    </row>
    <row r="12" spans="2:19" x14ac:dyDescent="0.25">
      <c r="B12" s="71">
        <v>7</v>
      </c>
      <c r="C12" s="5" t="s">
        <v>172</v>
      </c>
      <c r="D12" s="5"/>
      <c r="E12" s="5"/>
      <c r="F12" s="5" t="str">
        <f t="shared" si="0"/>
        <v/>
      </c>
      <c r="G12" s="5">
        <f>'AR Medi Corporation'!G9</f>
        <v>29750</v>
      </c>
      <c r="H12" s="5">
        <f>'AR Medi Corporation'!H9</f>
        <v>29750</v>
      </c>
      <c r="I12" s="5">
        <f t="shared" si="4"/>
        <v>0</v>
      </c>
      <c r="J12" s="5"/>
      <c r="K12" s="5"/>
      <c r="L12" s="5" t="str">
        <f t="shared" si="1"/>
        <v/>
      </c>
      <c r="M12" s="5"/>
      <c r="N12" s="5"/>
      <c r="O12" s="5" t="str">
        <f t="shared" si="3"/>
        <v/>
      </c>
      <c r="P12" s="5">
        <v>52000</v>
      </c>
      <c r="Q12" s="5">
        <v>52000</v>
      </c>
      <c r="R12" s="5"/>
    </row>
    <row r="13" spans="2:19" x14ac:dyDescent="0.25">
      <c r="B13" s="71">
        <v>8</v>
      </c>
      <c r="C13" s="5" t="s">
        <v>13</v>
      </c>
      <c r="D13" s="5"/>
      <c r="E13" s="5"/>
      <c r="F13" s="5" t="str">
        <f t="shared" si="0"/>
        <v/>
      </c>
      <c r="G13" s="5">
        <f>'SG Pharma Shamoly'!G7</f>
        <v>20700</v>
      </c>
      <c r="H13" s="5">
        <f>'SG Pharma Shamoly'!H7</f>
        <v>20700</v>
      </c>
      <c r="I13" s="5">
        <f t="shared" si="4"/>
        <v>0</v>
      </c>
      <c r="J13" s="5"/>
      <c r="K13" s="5"/>
      <c r="L13" s="5" t="str">
        <f t="shared" si="1"/>
        <v/>
      </c>
      <c r="M13" s="5"/>
      <c r="N13" s="5"/>
      <c r="O13" s="5" t="str">
        <f t="shared" si="3"/>
        <v/>
      </c>
      <c r="P13" s="5"/>
      <c r="Q13" s="5"/>
      <c r="R13" s="5" t="str">
        <f t="shared" si="2"/>
        <v/>
      </c>
    </row>
    <row r="14" spans="2:19" x14ac:dyDescent="0.25">
      <c r="B14" s="71">
        <v>9</v>
      </c>
      <c r="C14" s="5" t="s">
        <v>14</v>
      </c>
      <c r="D14" s="5"/>
      <c r="E14" s="5"/>
      <c r="F14" s="5" t="str">
        <f t="shared" si="0"/>
        <v/>
      </c>
      <c r="G14" s="5">
        <f>'Onima Medical'!H9</f>
        <v>6600</v>
      </c>
      <c r="H14" s="5">
        <f>'Onima Medical'!I9</f>
        <v>6600</v>
      </c>
      <c r="I14" s="5">
        <f t="shared" si="4"/>
        <v>0</v>
      </c>
      <c r="J14" s="5"/>
      <c r="K14" s="5"/>
      <c r="L14" s="5" t="str">
        <f t="shared" si="1"/>
        <v/>
      </c>
      <c r="M14" s="5"/>
      <c r="N14" s="5"/>
      <c r="O14" s="5" t="str">
        <f t="shared" si="3"/>
        <v/>
      </c>
      <c r="P14" s="5"/>
      <c r="Q14" s="5"/>
      <c r="R14" s="5" t="str">
        <f t="shared" si="2"/>
        <v/>
      </c>
    </row>
    <row r="15" spans="2:19" x14ac:dyDescent="0.25">
      <c r="B15" s="71">
        <v>10</v>
      </c>
      <c r="C15" s="5" t="s">
        <v>15</v>
      </c>
      <c r="D15" s="5"/>
      <c r="E15" s="5"/>
      <c r="F15" s="5" t="str">
        <f t="shared" si="0"/>
        <v/>
      </c>
      <c r="G15" s="6">
        <f>'Rahman Pharma'!I7</f>
        <v>20850</v>
      </c>
      <c r="H15" s="5">
        <f>'Rahman Pharma'!J7</f>
        <v>20850</v>
      </c>
      <c r="I15" s="5">
        <f t="shared" si="4"/>
        <v>0</v>
      </c>
      <c r="J15" s="5"/>
      <c r="K15" s="5"/>
      <c r="L15" s="5" t="str">
        <f t="shared" si="1"/>
        <v/>
      </c>
      <c r="M15" s="5"/>
      <c r="N15" s="5"/>
      <c r="O15" s="5" t="str">
        <f t="shared" si="3"/>
        <v/>
      </c>
      <c r="P15" s="5"/>
      <c r="Q15" s="5"/>
      <c r="R15" s="5" t="str">
        <f t="shared" si="2"/>
        <v/>
      </c>
    </row>
    <row r="16" spans="2:19" x14ac:dyDescent="0.25">
      <c r="B16" s="71">
        <v>11</v>
      </c>
      <c r="C16" s="5" t="s">
        <v>16</v>
      </c>
      <c r="D16" s="5">
        <f>'Norshingdi Pharma'!G7</f>
        <v>20400</v>
      </c>
      <c r="E16" s="5">
        <f>'Norshingdi Pharma'!H7</f>
        <v>20400</v>
      </c>
      <c r="F16" s="5">
        <f t="shared" si="0"/>
        <v>0</v>
      </c>
      <c r="G16" s="5"/>
      <c r="H16" s="5"/>
      <c r="I16" s="5" t="str">
        <f t="shared" si="4"/>
        <v/>
      </c>
      <c r="J16" s="5">
        <f>'Norshingdi Pharma'!G11</f>
        <v>20400</v>
      </c>
      <c r="K16" s="5">
        <f>'Norshingdi Pharma'!H11</f>
        <v>20400</v>
      </c>
      <c r="L16" s="5">
        <f t="shared" si="1"/>
        <v>0</v>
      </c>
      <c r="M16" s="5">
        <f>'Norshingdi Pharma'!G16</f>
        <v>27300</v>
      </c>
      <c r="N16" s="5">
        <f>'Norshingdi Pharma'!H16</f>
        <v>27300</v>
      </c>
      <c r="O16" s="5">
        <f t="shared" si="3"/>
        <v>0</v>
      </c>
      <c r="P16" s="5"/>
      <c r="Q16" s="5"/>
      <c r="R16" s="5" t="str">
        <f t="shared" si="2"/>
        <v/>
      </c>
    </row>
    <row r="17" spans="2:18" x14ac:dyDescent="0.25">
      <c r="B17" s="71">
        <v>12</v>
      </c>
      <c r="C17" s="5" t="s">
        <v>17</v>
      </c>
      <c r="D17" s="5"/>
      <c r="E17" s="5"/>
      <c r="F17" s="5" t="str">
        <f t="shared" si="0"/>
        <v/>
      </c>
      <c r="G17" s="5">
        <f>'MA Pharmacy'!I7</f>
        <v>97500</v>
      </c>
      <c r="H17" s="5">
        <f>'MA Pharmacy'!J7</f>
        <v>97500</v>
      </c>
      <c r="I17" s="5">
        <f t="shared" si="4"/>
        <v>0</v>
      </c>
      <c r="J17" s="5"/>
      <c r="K17" s="5"/>
      <c r="L17" s="5" t="str">
        <f t="shared" si="1"/>
        <v/>
      </c>
      <c r="M17" s="5"/>
      <c r="N17" s="5"/>
      <c r="O17" s="5" t="str">
        <f t="shared" si="3"/>
        <v/>
      </c>
      <c r="P17" s="5"/>
      <c r="Q17" s="5"/>
      <c r="R17" s="5" t="str">
        <f t="shared" si="2"/>
        <v/>
      </c>
    </row>
    <row r="18" spans="2:18" x14ac:dyDescent="0.25">
      <c r="B18" s="71">
        <v>13</v>
      </c>
      <c r="C18" s="5" t="s">
        <v>18</v>
      </c>
      <c r="D18" s="5"/>
      <c r="E18" s="5"/>
      <c r="F18" s="5" t="str">
        <f t="shared" si="0"/>
        <v/>
      </c>
      <c r="G18" s="5">
        <f>'Life Surgical'!G8</f>
        <v>20900</v>
      </c>
      <c r="H18" s="5">
        <f>'Life Surgical'!H8</f>
        <v>20900</v>
      </c>
      <c r="I18" s="5">
        <f t="shared" si="4"/>
        <v>0</v>
      </c>
      <c r="J18" s="5">
        <f>'Life Surgical'!G12</f>
        <v>20400</v>
      </c>
      <c r="K18" s="5">
        <f>'Life Surgical'!H12</f>
        <v>20400</v>
      </c>
      <c r="L18" s="5">
        <f t="shared" si="1"/>
        <v>0</v>
      </c>
      <c r="M18" s="5"/>
      <c r="N18" s="5"/>
      <c r="O18" s="5" t="str">
        <f t="shared" si="3"/>
        <v/>
      </c>
      <c r="P18" s="5"/>
      <c r="Q18" s="5"/>
      <c r="R18" s="5" t="str">
        <f t="shared" si="2"/>
        <v/>
      </c>
    </row>
    <row r="19" spans="2:18" x14ac:dyDescent="0.25">
      <c r="B19" s="71">
        <v>14</v>
      </c>
      <c r="C19" s="5" t="s">
        <v>19</v>
      </c>
      <c r="D19" s="5"/>
      <c r="E19" s="5"/>
      <c r="F19" s="5" t="str">
        <f t="shared" si="0"/>
        <v/>
      </c>
      <c r="G19" s="5">
        <f>'Chittagong Healthcare'!G14</f>
        <v>453700</v>
      </c>
      <c r="H19" s="5">
        <f>'Chittagong Healthcare'!H14</f>
        <v>453700</v>
      </c>
      <c r="I19" s="5">
        <f t="shared" si="4"/>
        <v>0</v>
      </c>
      <c r="J19" s="5"/>
      <c r="K19" s="5"/>
      <c r="L19" s="5" t="str">
        <f t="shared" si="1"/>
        <v/>
      </c>
      <c r="M19" s="5"/>
      <c r="N19" s="5"/>
      <c r="O19" s="5" t="str">
        <f t="shared" si="3"/>
        <v/>
      </c>
      <c r="P19" s="5"/>
      <c r="Q19" s="5"/>
      <c r="R19" s="5" t="str">
        <f t="shared" si="2"/>
        <v/>
      </c>
    </row>
    <row r="20" spans="2:18" x14ac:dyDescent="0.25">
      <c r="B20" s="71">
        <v>15</v>
      </c>
      <c r="C20" s="5" t="s">
        <v>20</v>
      </c>
      <c r="D20" s="5"/>
      <c r="E20" s="5"/>
      <c r="F20" s="5" t="str">
        <f t="shared" si="0"/>
        <v/>
      </c>
      <c r="G20" s="5"/>
      <c r="H20" s="5"/>
      <c r="I20" s="5" t="str">
        <f t="shared" si="4"/>
        <v/>
      </c>
      <c r="J20" s="5">
        <f>'Happy Life Pharmacy'!H16</f>
        <v>27900</v>
      </c>
      <c r="K20" s="5">
        <f>'Happy Life Pharmacy'!I16</f>
        <v>27900</v>
      </c>
      <c r="L20" s="5">
        <f t="shared" si="1"/>
        <v>0</v>
      </c>
      <c r="M20" s="5"/>
      <c r="N20" s="5"/>
      <c r="O20" s="5" t="str">
        <f t="shared" si="3"/>
        <v/>
      </c>
      <c r="P20" s="5"/>
      <c r="Q20" s="5"/>
      <c r="R20" s="5" t="str">
        <f t="shared" si="2"/>
        <v/>
      </c>
    </row>
    <row r="21" spans="2:18" x14ac:dyDescent="0.25">
      <c r="B21" s="71">
        <v>16</v>
      </c>
      <c r="C21" s="5" t="s">
        <v>21</v>
      </c>
      <c r="D21" s="5"/>
      <c r="E21" s="5"/>
      <c r="F21" s="5" t="str">
        <f t="shared" si="0"/>
        <v/>
      </c>
      <c r="G21" s="5"/>
      <c r="H21" s="5"/>
      <c r="I21" s="5" t="str">
        <f t="shared" si="4"/>
        <v/>
      </c>
      <c r="J21" s="5">
        <f>'Royal Medical'!G6</f>
        <v>20400</v>
      </c>
      <c r="K21" s="5">
        <f>'Royal Medical'!H6</f>
        <v>20400</v>
      </c>
      <c r="L21" s="5">
        <f t="shared" si="1"/>
        <v>0</v>
      </c>
      <c r="M21" s="5"/>
      <c r="N21" s="5"/>
      <c r="O21" s="5" t="str">
        <f t="shared" si="3"/>
        <v/>
      </c>
      <c r="P21" s="5"/>
      <c r="Q21" s="5"/>
      <c r="R21" s="5" t="str">
        <f t="shared" si="2"/>
        <v/>
      </c>
    </row>
    <row r="22" spans="2:18" x14ac:dyDescent="0.25">
      <c r="B22" s="71">
        <v>17</v>
      </c>
      <c r="C22" s="5" t="s">
        <v>22</v>
      </c>
      <c r="D22" s="5"/>
      <c r="E22" s="5"/>
      <c r="F22" s="5" t="str">
        <f t="shared" si="0"/>
        <v/>
      </c>
      <c r="G22" s="5"/>
      <c r="H22" s="5"/>
      <c r="I22" s="5" t="str">
        <f t="shared" si="4"/>
        <v/>
      </c>
      <c r="J22" s="5">
        <f>'USB Hospital Uttara'!H7</f>
        <v>12000</v>
      </c>
      <c r="K22" s="5">
        <f>'USB Hospital Uttara'!I7</f>
        <v>12000</v>
      </c>
      <c r="L22" s="5">
        <f t="shared" si="1"/>
        <v>0</v>
      </c>
      <c r="M22" s="5"/>
      <c r="N22" s="5"/>
      <c r="O22" s="5" t="str">
        <f t="shared" si="3"/>
        <v/>
      </c>
      <c r="P22" s="5"/>
      <c r="Q22" s="5"/>
      <c r="R22" s="5" t="str">
        <f t="shared" si="2"/>
        <v/>
      </c>
    </row>
    <row r="23" spans="2:18" x14ac:dyDescent="0.25">
      <c r="B23" s="71">
        <v>18</v>
      </c>
      <c r="C23" s="5" t="s">
        <v>23</v>
      </c>
      <c r="D23" s="5"/>
      <c r="E23" s="5"/>
      <c r="F23" s="5" t="str">
        <f t="shared" si="0"/>
        <v/>
      </c>
      <c r="G23" s="5"/>
      <c r="H23" s="5"/>
      <c r="I23" s="5" t="str">
        <f t="shared" si="4"/>
        <v/>
      </c>
      <c r="J23" s="5">
        <f>'Asha International'!H7</f>
        <v>495000</v>
      </c>
      <c r="K23" s="5">
        <f>'Asha International'!I7</f>
        <v>400000</v>
      </c>
      <c r="L23" s="5">
        <f t="shared" si="1"/>
        <v>95000</v>
      </c>
      <c r="M23" s="5"/>
      <c r="N23" s="5"/>
      <c r="O23" s="5" t="str">
        <f t="shared" si="3"/>
        <v/>
      </c>
      <c r="P23" s="5"/>
      <c r="Q23" s="5"/>
      <c r="R23" s="5" t="str">
        <f t="shared" si="2"/>
        <v/>
      </c>
    </row>
    <row r="24" spans="2:18" x14ac:dyDescent="0.25">
      <c r="B24" s="71">
        <v>19</v>
      </c>
      <c r="C24" s="5" t="s">
        <v>24</v>
      </c>
      <c r="D24" s="5"/>
      <c r="E24" s="5"/>
      <c r="F24" s="5" t="str">
        <f t="shared" si="0"/>
        <v/>
      </c>
      <c r="G24" s="5"/>
      <c r="H24" s="5"/>
      <c r="I24" s="5" t="str">
        <f t="shared" si="4"/>
        <v/>
      </c>
      <c r="J24" s="5"/>
      <c r="K24" s="5"/>
      <c r="L24" s="5" t="str">
        <f t="shared" si="1"/>
        <v/>
      </c>
      <c r="M24" s="5">
        <f>'Star Surgical'!H9</f>
        <v>68400</v>
      </c>
      <c r="N24" s="5">
        <f>'Star Surgical'!I9</f>
        <v>45400</v>
      </c>
      <c r="O24" s="5">
        <f t="shared" si="3"/>
        <v>23000</v>
      </c>
      <c r="P24" s="5"/>
      <c r="Q24" s="5"/>
      <c r="R24" s="5" t="str">
        <f t="shared" si="2"/>
        <v/>
      </c>
    </row>
    <row r="25" spans="2:18" x14ac:dyDescent="0.25">
      <c r="B25" s="71">
        <v>20</v>
      </c>
      <c r="C25" s="5" t="s">
        <v>25</v>
      </c>
      <c r="D25" s="5"/>
      <c r="E25" s="5"/>
      <c r="F25" s="5" t="str">
        <f t="shared" si="0"/>
        <v/>
      </c>
      <c r="G25" s="5"/>
      <c r="H25" s="5"/>
      <c r="I25" s="5" t="str">
        <f t="shared" si="4"/>
        <v/>
      </c>
      <c r="J25" s="5"/>
      <c r="K25" s="5"/>
      <c r="L25" s="5" t="str">
        <f t="shared" si="1"/>
        <v/>
      </c>
      <c r="M25" s="5">
        <f>'Sylhet Pharma'!H8</f>
        <v>17820</v>
      </c>
      <c r="N25" s="5">
        <f>'Sylhet Pharma'!I8</f>
        <v>0</v>
      </c>
      <c r="O25" s="5">
        <f t="shared" si="3"/>
        <v>17820</v>
      </c>
      <c r="P25" s="5"/>
      <c r="Q25" s="5"/>
      <c r="R25" s="5" t="str">
        <f t="shared" si="2"/>
        <v/>
      </c>
    </row>
    <row r="26" spans="2:18" x14ac:dyDescent="0.25">
      <c r="B26" s="71">
        <v>21</v>
      </c>
      <c r="C26" s="5" t="s">
        <v>26</v>
      </c>
      <c r="D26" s="5"/>
      <c r="E26" s="5"/>
      <c r="F26" s="5" t="str">
        <f t="shared" si="0"/>
        <v/>
      </c>
      <c r="G26" s="5"/>
      <c r="H26" s="5"/>
      <c r="I26" s="5" t="str">
        <f t="shared" si="4"/>
        <v/>
      </c>
      <c r="J26" s="5"/>
      <c r="K26" s="5"/>
      <c r="L26" s="5" t="str">
        <f t="shared" si="1"/>
        <v/>
      </c>
      <c r="M26" s="5">
        <f>'Bulbul Surgical'!I7</f>
        <v>0</v>
      </c>
      <c r="N26" s="5">
        <f>'Bulbul Surgical'!J7</f>
        <v>0</v>
      </c>
      <c r="O26" s="5">
        <f t="shared" si="3"/>
        <v>0</v>
      </c>
      <c r="P26" s="5"/>
      <c r="Q26" s="5"/>
      <c r="R26" s="5" t="str">
        <f t="shared" si="2"/>
        <v/>
      </c>
    </row>
    <row r="27" spans="2:18" x14ac:dyDescent="0.25">
      <c r="B27" s="71">
        <v>22</v>
      </c>
      <c r="C27" s="5" t="s">
        <v>27</v>
      </c>
      <c r="D27" s="5"/>
      <c r="E27" s="5"/>
      <c r="F27" s="5" t="str">
        <f t="shared" si="0"/>
        <v/>
      </c>
      <c r="G27" s="5"/>
      <c r="H27" s="5"/>
      <c r="I27" s="5" t="str">
        <f t="shared" si="4"/>
        <v/>
      </c>
      <c r="J27" s="5"/>
      <c r="K27" s="5"/>
      <c r="L27" s="5" t="str">
        <f t="shared" si="1"/>
        <v/>
      </c>
      <c r="M27" s="5">
        <f>'Suzon Pharma (Rang)'!I10</f>
        <v>42000</v>
      </c>
      <c r="N27" s="5">
        <f>'Suzon Pharma (Rang)'!J10</f>
        <v>42000</v>
      </c>
      <c r="O27" s="5">
        <f t="shared" si="3"/>
        <v>0</v>
      </c>
      <c r="P27" s="5"/>
      <c r="Q27" s="5"/>
      <c r="R27" s="5" t="str">
        <f t="shared" si="2"/>
        <v/>
      </c>
    </row>
    <row r="28" spans="2:18" x14ac:dyDescent="0.25">
      <c r="B28" s="71">
        <v>23</v>
      </c>
      <c r="C28" s="5" t="s">
        <v>28</v>
      </c>
      <c r="D28" s="5"/>
      <c r="E28" s="5"/>
      <c r="F28" s="5"/>
      <c r="G28" s="5"/>
      <c r="H28" s="5"/>
      <c r="I28" s="5" t="str">
        <f t="shared" si="4"/>
        <v/>
      </c>
      <c r="J28" s="5"/>
      <c r="K28" s="5"/>
      <c r="L28" s="5" t="str">
        <f t="shared" si="1"/>
        <v/>
      </c>
      <c r="M28" s="5">
        <f>'SH Pharma'!H8</f>
        <v>93000</v>
      </c>
      <c r="N28" s="5">
        <f>'SH Pharma'!I8</f>
        <v>60000</v>
      </c>
      <c r="O28" s="5">
        <f t="shared" si="3"/>
        <v>33000</v>
      </c>
      <c r="P28" s="5"/>
      <c r="Q28" s="5"/>
      <c r="R28" s="5" t="str">
        <f t="shared" si="2"/>
        <v/>
      </c>
    </row>
    <row r="29" spans="2:18" x14ac:dyDescent="0.25">
      <c r="B29" s="71">
        <v>24</v>
      </c>
      <c r="C29" s="5" t="s">
        <v>165</v>
      </c>
      <c r="D29" s="5"/>
      <c r="E29" s="5"/>
      <c r="F29" s="5" t="str">
        <f t="shared" si="0"/>
        <v/>
      </c>
      <c r="G29" s="5"/>
      <c r="H29" s="5"/>
      <c r="I29" s="5" t="str">
        <f t="shared" si="4"/>
        <v/>
      </c>
      <c r="J29" s="5"/>
      <c r="K29" s="5"/>
      <c r="L29" s="5" t="str">
        <f t="shared" si="1"/>
        <v/>
      </c>
      <c r="M29" s="5">
        <f>'Mymen. Sayem Diagnostic Center'!H7</f>
        <v>15000</v>
      </c>
      <c r="N29" s="5">
        <f>'Mymen. Sayem Diagnostic Center'!I7</f>
        <v>15000</v>
      </c>
      <c r="O29" s="5">
        <f t="shared" si="3"/>
        <v>0</v>
      </c>
      <c r="P29" s="5"/>
      <c r="Q29" s="5"/>
      <c r="R29" s="5" t="str">
        <f t="shared" si="2"/>
        <v/>
      </c>
    </row>
    <row r="30" spans="2:18" x14ac:dyDescent="0.25">
      <c r="B30" s="71">
        <v>25</v>
      </c>
      <c r="C30" s="7" t="s">
        <v>29</v>
      </c>
      <c r="D30" s="5"/>
      <c r="E30" s="5"/>
      <c r="F30" s="5" t="str">
        <f t="shared" si="0"/>
        <v/>
      </c>
      <c r="G30" s="5"/>
      <c r="H30" s="5"/>
      <c r="I30" s="5" t="str">
        <f t="shared" si="4"/>
        <v/>
      </c>
      <c r="J30" s="7">
        <f>'Mitfort Hospital'!K17</f>
        <v>1764520</v>
      </c>
      <c r="K30" s="7">
        <f>'Mitfort Hospital'!M17</f>
        <v>500000</v>
      </c>
      <c r="L30" s="5">
        <f>IF(AND(J30="", K30=""), "", J30-K30)</f>
        <v>1264520</v>
      </c>
      <c r="M30" s="5"/>
      <c r="N30" s="5"/>
      <c r="O30" s="5" t="str">
        <f t="shared" si="3"/>
        <v/>
      </c>
      <c r="P30" s="5"/>
      <c r="Q30" s="5"/>
      <c r="R30" s="5" t="str">
        <f t="shared" si="2"/>
        <v/>
      </c>
    </row>
    <row r="31" spans="2:18" x14ac:dyDescent="0.25">
      <c r="B31" s="71">
        <v>26</v>
      </c>
      <c r="C31" s="7" t="s">
        <v>171</v>
      </c>
      <c r="D31" s="5"/>
      <c r="E31" s="5"/>
      <c r="F31" s="5"/>
      <c r="G31" s="5"/>
      <c r="H31" s="5"/>
      <c r="I31" s="5"/>
      <c r="J31" s="7"/>
      <c r="K31" s="7"/>
      <c r="L31" s="5"/>
      <c r="M31" s="5"/>
      <c r="N31" s="5"/>
      <c r="O31" s="5"/>
      <c r="P31" s="5"/>
      <c r="Q31" s="5"/>
      <c r="R31" s="5"/>
    </row>
    <row r="32" spans="2:18" x14ac:dyDescent="0.25">
      <c r="B32" s="71">
        <v>27</v>
      </c>
      <c r="C32" s="5" t="s">
        <v>173</v>
      </c>
      <c r="D32" s="5"/>
      <c r="E32" s="5"/>
      <c r="F32" s="5"/>
      <c r="G32" s="5"/>
      <c r="H32" s="5"/>
      <c r="I32" s="5"/>
      <c r="J32" s="7"/>
      <c r="K32" s="7"/>
      <c r="L32" s="5"/>
      <c r="M32" s="5"/>
      <c r="N32" s="5"/>
      <c r="O32" s="5"/>
      <c r="P32" s="5"/>
      <c r="Q32" s="5"/>
      <c r="R32" s="5"/>
    </row>
    <row r="33" spans="2:18" x14ac:dyDescent="0.25">
      <c r="B33" s="71"/>
      <c r="C33" s="57"/>
      <c r="J33" s="57"/>
      <c r="K33" s="57"/>
    </row>
    <row r="35" spans="2:18" x14ac:dyDescent="0.25">
      <c r="C35" s="72" t="s">
        <v>73</v>
      </c>
      <c r="D35" s="73">
        <f t="shared" ref="D35:O35" si="5">SUM(D6:D30)</f>
        <v>358687</v>
      </c>
      <c r="E35" s="73">
        <f t="shared" si="5"/>
        <v>358687</v>
      </c>
      <c r="F35" s="73">
        <f t="shared" si="5"/>
        <v>0</v>
      </c>
      <c r="G35" s="73">
        <f t="shared" si="5"/>
        <v>834200</v>
      </c>
      <c r="H35" s="73">
        <f t="shared" si="5"/>
        <v>834200</v>
      </c>
      <c r="I35" s="73">
        <f t="shared" si="5"/>
        <v>0</v>
      </c>
      <c r="J35" s="73">
        <f t="shared" si="5"/>
        <v>2531470</v>
      </c>
      <c r="K35" s="73">
        <f t="shared" si="5"/>
        <v>1171950</v>
      </c>
      <c r="L35" s="73">
        <f t="shared" si="5"/>
        <v>1359520</v>
      </c>
      <c r="M35" s="73">
        <f t="shared" si="5"/>
        <v>263520</v>
      </c>
      <c r="N35" s="73">
        <f t="shared" si="5"/>
        <v>189700</v>
      </c>
      <c r="O35" s="73">
        <f t="shared" si="5"/>
        <v>73820</v>
      </c>
      <c r="P35" s="73">
        <f>SUM(P6:P30)</f>
        <v>79900</v>
      </c>
      <c r="Q35" s="73">
        <f>SUM(Q6:Q34)</f>
        <v>52000</v>
      </c>
      <c r="R35" s="78">
        <f>SUM(R6:R30)</f>
        <v>27900</v>
      </c>
    </row>
  </sheetData>
  <mergeCells count="6">
    <mergeCell ref="B4:B5"/>
    <mergeCell ref="P4:R4"/>
    <mergeCell ref="D4:F4"/>
    <mergeCell ref="G4:I4"/>
    <mergeCell ref="J4:L4"/>
    <mergeCell ref="M4:O4"/>
  </mergeCells>
  <pageMargins left="0.7" right="0.7" top="0.75" bottom="0.75" header="0.511811023622047" footer="0.511811023622047"/>
  <pageSetup orientation="portrait" horizontalDpi="300" verticalDpi="300"/>
  <legacyDrawing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M19"/>
  <sheetViews>
    <sheetView topLeftCell="B1" zoomScale="70" zoomScaleNormal="70" workbookViewId="0">
      <selection activeCell="F24" sqref="F24"/>
    </sheetView>
  </sheetViews>
  <sheetFormatPr defaultColWidth="8.7109375" defaultRowHeight="15" x14ac:dyDescent="0.25"/>
  <cols>
    <col min="2" max="2" width="9" customWidth="1"/>
    <col min="3" max="3" width="22.5703125" customWidth="1"/>
    <col min="4" max="4" width="14.5703125" customWidth="1"/>
    <col min="5" max="5" width="14.7109375" customWidth="1"/>
    <col min="6" max="6" width="15.5703125" customWidth="1"/>
    <col min="7" max="7" width="14.7109375" customWidth="1"/>
    <col min="8" max="8" width="13.85546875" customWidth="1"/>
    <col min="9" max="9" width="13.28515625" customWidth="1"/>
    <col min="10" max="10" width="14.42578125" customWidth="1"/>
    <col min="11" max="11" width="13" customWidth="1"/>
    <col min="12" max="12" width="12.5703125" customWidth="1"/>
    <col min="13" max="13" width="14" customWidth="1"/>
  </cols>
  <sheetData>
    <row r="2" spans="2:13" x14ac:dyDescent="0.25">
      <c r="C2" s="162" t="s">
        <v>30</v>
      </c>
      <c r="D2" s="162"/>
      <c r="E2" s="162"/>
      <c r="F2" s="162"/>
      <c r="G2" s="162"/>
      <c r="H2" s="162"/>
      <c r="I2" s="162"/>
      <c r="J2" s="162"/>
      <c r="K2" s="162"/>
    </row>
    <row r="4" spans="2:13" ht="15" customHeight="1" x14ac:dyDescent="0.25">
      <c r="C4" s="163" t="s">
        <v>31</v>
      </c>
      <c r="D4" s="164">
        <v>46113</v>
      </c>
      <c r="E4" s="164"/>
      <c r="F4" s="165">
        <v>46143</v>
      </c>
      <c r="G4" s="165"/>
      <c r="H4" s="161">
        <v>46174</v>
      </c>
      <c r="I4" s="161"/>
      <c r="J4" s="165">
        <v>46204</v>
      </c>
      <c r="K4" s="165"/>
      <c r="L4" s="161">
        <v>46235</v>
      </c>
      <c r="M4" s="161"/>
    </row>
    <row r="5" spans="2:13" x14ac:dyDescent="0.25">
      <c r="B5" s="8" t="s">
        <v>32</v>
      </c>
      <c r="C5" s="163"/>
      <c r="D5" s="9" t="s">
        <v>33</v>
      </c>
      <c r="E5" s="9" t="s">
        <v>34</v>
      </c>
      <c r="F5" s="9" t="s">
        <v>33</v>
      </c>
      <c r="G5" s="9" t="s">
        <v>34</v>
      </c>
      <c r="H5" s="9" t="s">
        <v>33</v>
      </c>
      <c r="I5" s="9" t="s">
        <v>34</v>
      </c>
      <c r="J5" s="9" t="s">
        <v>33</v>
      </c>
      <c r="K5" s="9" t="s">
        <v>34</v>
      </c>
      <c r="L5" s="9" t="s">
        <v>33</v>
      </c>
      <c r="M5" s="9" t="s">
        <v>34</v>
      </c>
    </row>
    <row r="6" spans="2:13" x14ac:dyDescent="0.25">
      <c r="B6" s="10" t="s">
        <v>35</v>
      </c>
      <c r="C6" s="11" t="s">
        <v>36</v>
      </c>
      <c r="D6" s="12">
        <f>IF(SUMIFS(Data!$D$2:$D$71,Data!$F$2:$F$71,$B6,Data!$B$2:$B$71,TEXT(D4,"mmmm"))=0,"",SUMIFS(Data!$D$2:$D$71,Data!$F$2:$F$71,$B6,Data!$B$2:$B$71,TEXT(D4,"mmmm")))</f>
        <v>120</v>
      </c>
      <c r="E6" s="12">
        <f>IFERROR(ROUND(AVERAGEIFS(Data!$E$2:$E$71,Data!$F$2:$F$71,$B6,Data!$B$2:$B$71,TEXT(D4,"mmmm")),2),"")</f>
        <v>690</v>
      </c>
      <c r="F6" s="12">
        <f>IF(SUMIFS(Data!$D$2:$D$71,Data!$F$2:$F$71,$B6,Data!$B$2:$B$71,TEXT(F4,"mmmm"))=0,"",SUMIFS(Data!$D$2:$D$71,Data!$F$2:$F$71,$B6,Data!$B$2:$B$71,TEXT(F4,"mmmm")))</f>
        <v>330</v>
      </c>
      <c r="G6" s="12">
        <f>IFERROR(ROUND(AVERAGEIFS(Data!$E$2:$E$71,Data!$F$2:$F$71,$B6,Data!$B$2:$B$71,TEXT(F4,"mmmm")),2),"")</f>
        <v>685</v>
      </c>
      <c r="H6" s="12">
        <f>IF(SUMIFS(Data!$D$2:$D$71,Data!$F$2:$F$71,$B6,Data!$B$2:$B$71,TEXT(H4,"mmmm"))=0,"",SUMIFS(Data!$D$2:$D$71,Data!$F$2:$F$71,$B6,Data!$B$2:$B$71,TEXT(H4,"mmmm")))</f>
        <v>1136</v>
      </c>
      <c r="I6" s="12">
        <f>IFERROR(ROUND(AVERAGEIFS(Data!$E$2:$E$71,Data!$F$2:$F$71,$B6,Data!$B$2:$B$71,TEXT(H4,"mmmm")),2),"")</f>
        <v>352160</v>
      </c>
      <c r="J6" s="13" t="str">
        <f>IF(SUMIFS(Data!$D$2:$D$71,Data!$F$2:$F$71,$B6,Data!$B$2:$B$71,TEXT(J4,"mmmm"))=0,"",SUMIFS(Data!$D$2:$D$71,Data!$F$2:$F$71,$B6,Data!$B$2:$B$71,TEXT(J4,"mmmm")))</f>
        <v/>
      </c>
      <c r="K6" s="13" t="str">
        <f>IFERROR(ROUND(AVERAGEIFS(Data!$E$2:$E$71,Data!$F$2:$F$71,$B6,Data!$B$2:$B$71,TEXT(J4,"mmmm")),2),"")</f>
        <v/>
      </c>
      <c r="L6" s="5"/>
      <c r="M6" s="5"/>
    </row>
    <row r="7" spans="2:13" x14ac:dyDescent="0.25">
      <c r="B7" s="10" t="s">
        <v>37</v>
      </c>
      <c r="C7" s="11" t="s">
        <v>38</v>
      </c>
      <c r="D7" s="12" t="str">
        <f>IF(SUMIFS(Data!$D$2:$D$71,Data!$F$2:$F$71,$B7,Data!$B$2:$B$71,TEXT(D4,"mmmm"))=0,"",SUMIFS(Data!$D$2:$D$71,Data!$F$2:$F$71,$B7,Data!$B$2:$B$71,TEXT(D4,"mmmm")))</f>
        <v/>
      </c>
      <c r="E7" s="12" t="str">
        <f>IFERROR(ROUND(AVERAGEIFS(Data!$E$2:$E$71,Data!$F$2:$F$71,$B7,Data!$B$2:$B$71,TEXT(D4,"mmmm")),2),"")</f>
        <v/>
      </c>
      <c r="F7" s="12">
        <f>IF(SUMIFS(Data!$D$2:$D$71,Data!$F$2:$F$71,$B7,Data!$B$2:$B$71,TEXT(F4,"mmmm"))=0,"",SUMIFS(Data!$D$2:$D$71,Data!$F$2:$F$71,$B7,Data!$B$2:$B$71,TEXT(F4,"mmmm")))</f>
        <v>180</v>
      </c>
      <c r="G7" s="12">
        <f>IFERROR(ROUND(AVERAGEIFS(Data!$E$2:$E$71,Data!$F$2:$F$71,$B7,Data!$B$2:$B$71,TEXT(F4,"mmmm")),2),"")</f>
        <v>690</v>
      </c>
      <c r="H7" s="12">
        <f>IF(SUMIFS(Data!$D$2:$D$71,Data!$F$2:$F$71,$B7,Data!$B$2:$B$71,TEXT(H4,"mmmm"))=0,"",SUMIFS(Data!$D$2:$D$71,Data!$F$2:$F$71,$B7,Data!$B$2:$B$71,TEXT(H4,"mmmm")))</f>
        <v>570</v>
      </c>
      <c r="I7" s="12">
        <f>IFERROR(ROUND(AVERAGEIFS(Data!$E$2:$E$71,Data!$F$2:$F$71,$B7,Data!$B$2:$B$71,TEXT(H4,"mmmm")),2),"")</f>
        <v>353400</v>
      </c>
      <c r="J7" s="13" t="str">
        <f>IF(SUMIFS(Data!$D$2:$D$71,Data!$F$2:$F$71,$B7,Data!$B$2:$B$71,TEXT(J4,"mmmm"))=0,"",SUMIFS(Data!$D$2:$D$71,Data!$F$2:$F$71,$B7,Data!$B$2:$B$71,TEXT(J4,"mmmm")))</f>
        <v/>
      </c>
      <c r="K7" s="13" t="str">
        <f>IFERROR(ROUND(AVERAGEIFS(Data!$E$2:$E$71,Data!$F$2:$F$71,$B7,Data!$B$2:$B$71,TEXT(J4,"mmmm")),2),"")</f>
        <v/>
      </c>
      <c r="L7" s="5"/>
      <c r="M7" s="5"/>
    </row>
    <row r="8" spans="2:13" x14ac:dyDescent="0.25">
      <c r="B8" s="10" t="s">
        <v>39</v>
      </c>
      <c r="C8" s="11" t="s">
        <v>40</v>
      </c>
      <c r="D8" s="12">
        <f>IF(SUMIFS(Data!$D$2:$D$71,Data!$F$2:$F$71,$B8,Data!$B$2:$B$71,TEXT(D4,"mmmm"))=0,"",SUMIFS(Data!$D$2:$D$71,Data!$F$2:$F$71,$B8,Data!$B$2:$B$71,TEXT(D4,"mmmm")))</f>
        <v>60</v>
      </c>
      <c r="E8" s="12">
        <f>IFERROR(ROUND(AVERAGEIFS(Data!$E$2:$E$71,Data!$F$2:$F$71,$B8,Data!$B$2:$B$71,TEXT(D4,"mmmm")),2),"")</f>
        <v>700</v>
      </c>
      <c r="F8" s="12" t="str">
        <f>IF(SUMIFS(Data!$D$2:$D$71,Data!$F$2:$F$71,$B8,Data!$B$2:$B$71,TEXT(F4,"mmmm"))=0,"",SUMIFS(Data!$D$2:$D$71,Data!$F$2:$F$71,$B8,Data!$B$2:$B$71,TEXT(F4,"mmmm")))</f>
        <v/>
      </c>
      <c r="G8" s="12" t="str">
        <f>IFERROR(ROUND(AVERAGEIFS(Data!$E$2:$E$71,Data!$F$2:$F$71,$B8,Data!$B$2:$B$71,TEXT(F4,"mmmm")),2),"")</f>
        <v/>
      </c>
      <c r="H8" s="12">
        <f>IF(SUMIFS(Data!$D$2:$D$71,Data!$F$2:$F$71,$B8,Data!$B$2:$B$71,TEXT(H4,"mmmm"))=0,"",SUMIFS(Data!$D$2:$D$71,Data!$F$2:$F$71,$B8,Data!$B$2:$B$71,TEXT(H4,"mmmm")))</f>
        <v>240</v>
      </c>
      <c r="I8" s="12">
        <f>IFERROR(ROUND(AVERAGEIFS(Data!$E$2:$E$71,Data!$F$2:$F$71,$B8,Data!$B$2:$B$71,TEXT(H4,"mmmm")),2),"")</f>
        <v>688</v>
      </c>
      <c r="J8" s="13">
        <f>IF(SUMIFS(Data!$D$2:$D$71,Data!$F$2:$F$71,$B8,Data!$B$2:$B$71,TEXT(J4,"mmmm"))=0,"",SUMIFS(Data!$D$2:$D$71,Data!$F$2:$F$71,$B8,Data!$B$2:$B$71,TEXT(J4,"mmmm")))</f>
        <v>90</v>
      </c>
      <c r="K8" s="13">
        <f>IFERROR(ROUND(AVERAGEIFS(Data!$E$2:$E$71,Data!$F$2:$F$71,$B8,Data!$B$2:$B$71,TEXT(J4,"mmmm")),2),"")</f>
        <v>703.33</v>
      </c>
      <c r="L8" s="5"/>
      <c r="M8" s="5"/>
    </row>
    <row r="9" spans="2:13" x14ac:dyDescent="0.25">
      <c r="B9" s="10" t="s">
        <v>41</v>
      </c>
      <c r="C9" s="11" t="s">
        <v>42</v>
      </c>
      <c r="D9" s="12">
        <f>IF(SUMIFS(Data!$D$2:$D$71,Data!$F$2:$F$71,$B9,Data!$B$2:$B$71,TEXT(D4,"mmmm"))=0,"",SUMIFS(Data!$D$2:$D$71,Data!$F$2:$F$71,$B9,Data!$B$2:$B$71,TEXT(D4,"mmmm")))</f>
        <v>90</v>
      </c>
      <c r="E9" s="12">
        <f>IFERROR(ROUND(AVERAGEIFS(Data!$E$2:$E$71,Data!$F$2:$F$71,$B9,Data!$B$2:$B$71,TEXT(D4,"mmmm")),2),"")</f>
        <v>696.67</v>
      </c>
      <c r="F9" s="12" t="str">
        <f>IF(SUMIFS(Data!$D$2:$D$71,Data!$F$2:$F$71,$B9,Data!$B$2:$B$71,TEXT(F4,"mmmm"))=0,"",SUMIFS(Data!$D$2:$D$71,Data!$F$2:$F$71,$B9,Data!$B$2:$B$71,TEXT(F4,"mmmm")))</f>
        <v/>
      </c>
      <c r="G9" s="12" t="str">
        <f>IFERROR(ROUND(AVERAGEIFS(Data!$E$2:$E$71,Data!$F$2:$F$71,$B9,Data!$B$2:$B$71,TEXT(F4,"mmmm")),2),"")</f>
        <v/>
      </c>
      <c r="H9" s="12">
        <f>IF(SUMIFS(Data!$D$2:$D$71,Data!$F$2:$F$71,$B9,Data!$B$2:$B$71,TEXT(H4,"mmmm"))=0,"",SUMIFS(Data!$D$2:$D$71,Data!$F$2:$F$71,$B9,Data!$B$2:$B$71,TEXT(H4,"mmmm")))</f>
        <v>30</v>
      </c>
      <c r="I9" s="12">
        <f>IFERROR(ROUND(AVERAGEIFS(Data!$E$2:$E$71,Data!$F$2:$F$71,$B9,Data!$B$2:$B$71,TEXT(H4,"mmmm")),2),"")</f>
        <v>680</v>
      </c>
      <c r="J9" s="13" t="str">
        <f>IF(SUMIFS(Data!$D$2:$D$71,Data!$F$2:$F$71,$B9,Data!$B$2:$B$71,TEXT(J4,"mmmm"))=0,"",SUMIFS(Data!$D$2:$D$71,Data!$F$2:$F$71,$B9,Data!$B$2:$B$71,TEXT(J4,"mmmm")))</f>
        <v/>
      </c>
      <c r="K9" s="13" t="str">
        <f>IFERROR(ROUND(AVERAGEIFS(Data!$E$2:$E$71,Data!$F$2:$F$71,$B9,Data!$B$2:$B$71,TEXT(J4,"mmmm")),2),"")</f>
        <v/>
      </c>
      <c r="L9" s="5"/>
      <c r="M9" s="5"/>
    </row>
    <row r="10" spans="2:13" x14ac:dyDescent="0.25">
      <c r="B10" s="10" t="s">
        <v>43</v>
      </c>
      <c r="C10" s="11" t="s">
        <v>44</v>
      </c>
      <c r="D10" s="12">
        <f>IF(SUMIFS(Data!$D$2:$D$71,Data!$F$2:$F$71,$B10,Data!$B$2:$B$71,TEXT(D4,"mmmm"))=0,"",SUMIFS(Data!$D$2:$D$71,Data!$F$2:$F$71,$B10,Data!$B$2:$B$71,TEXT(D4,"mmmm")))</f>
        <v>60</v>
      </c>
      <c r="E10" s="12">
        <f>IFERROR(ROUND(AVERAGEIFS(Data!$E$2:$E$71,Data!$F$2:$F$71,$B10,Data!$B$2:$B$71,TEXT(D4,"mmmm")),2),"")</f>
        <v>700</v>
      </c>
      <c r="F10" s="12">
        <f>IF(SUMIFS(Data!$D$2:$D$71,Data!$F$2:$F$71,$B10,Data!$B$2:$B$71,TEXT(F4,"mmmm"))=0,"",SUMIFS(Data!$D$2:$D$71,Data!$F$2:$F$71,$B10,Data!$B$2:$B$71,TEXT(F4,"mmmm")))</f>
        <v>120</v>
      </c>
      <c r="G10" s="12">
        <f>IFERROR(ROUND(AVERAGEIFS(Data!$E$2:$E$71,Data!$F$2:$F$71,$B10,Data!$B$2:$B$71,TEXT(F4,"mmmm")),2),"")</f>
        <v>682.5</v>
      </c>
      <c r="H10" s="12">
        <f>IF(SUMIFS(Data!$D$2:$D$71,Data!$F$2:$F$71,$B10,Data!$B$2:$B$71,TEXT(H4,"mmmm"))=0,"",SUMIFS(Data!$D$2:$D$71,Data!$F$2:$F$71,$B10,Data!$B$2:$B$71,TEXT(H4,"mmmm")))</f>
        <v>150</v>
      </c>
      <c r="I10" s="12">
        <f>IFERROR(ROUND(AVERAGEIFS(Data!$E$2:$E$71,Data!$F$2:$F$71,$B10,Data!$B$2:$B$71,TEXT(H4,"mmmm")),2),"")</f>
        <v>37540</v>
      </c>
      <c r="J10" s="13" t="str">
        <f>IF(SUMIFS(Data!$D$2:$D$71,Data!$F$2:$F$71,$B10,Data!$B$2:$B$71,TEXT(J4,"mmmm"))=0,"",SUMIFS(Data!$D$2:$D$71,Data!$F$2:$F$71,$B10,Data!$B$2:$B$71,TEXT(J4,"mmmm")))</f>
        <v/>
      </c>
      <c r="K10" s="13" t="str">
        <f>IFERROR(ROUND(AVERAGEIFS(Data!$E$2:$E$71,Data!$F$2:$F$71,$B10,Data!$B$2:$B$71,TEXT(J4,"mmmm")),2),"")</f>
        <v/>
      </c>
      <c r="L10" s="5"/>
      <c r="M10" s="5"/>
    </row>
    <row r="11" spans="2:13" x14ac:dyDescent="0.25">
      <c r="B11" s="10" t="s">
        <v>45</v>
      </c>
      <c r="C11" s="11" t="s">
        <v>46</v>
      </c>
      <c r="D11" s="12" t="str">
        <f>IF(SUMIFS(Data!$D$2:$D$71,Data!$F$2:$F$71,$B11,Data!$B$2:$B$71,TEXT(D4,"mmmm"))=0,"",SUMIFS(Data!$D$2:$D$71,Data!$F$2:$F$71,$B11,Data!$B$2:$B$71,TEXT(D4,"mmmm")))</f>
        <v/>
      </c>
      <c r="E11" s="12" t="str">
        <f>IFERROR(ROUND(AVERAGEIFS(Data!$E$2:$E$71,Data!$F$2:$F$71,$B11,Data!$B$2:$B$71,TEXT(D4,"mmmm")),2),"")</f>
        <v/>
      </c>
      <c r="F11" s="12">
        <f>IF(SUMIFS(Data!$D$2:$D$71,Data!$F$2:$F$71,$B11,Data!$B$2:$B$71,TEXT(F4,"mmmm"))=0,"",SUMIFS(Data!$D$2:$D$71,Data!$F$2:$F$71,$B11,Data!$B$2:$B$71,TEXT(F4,"mmmm")))</f>
        <v>30</v>
      </c>
      <c r="G11" s="12">
        <f>IFERROR(ROUND(AVERAGEIFS(Data!$E$2:$E$71,Data!$F$2:$F$71,$B11,Data!$B$2:$B$71,TEXT(F4,"mmmm")),2),"")</f>
        <v>680</v>
      </c>
      <c r="H11" s="12">
        <f>IF(SUMIFS(Data!$D$2:$D$71,Data!$F$2:$F$71,$B11,Data!$B$2:$B$71,TEXT(H4,"mmmm"))=0,"",SUMIFS(Data!$D$2:$D$71,Data!$F$2:$F$71,$B11,Data!$B$2:$B$71,TEXT(H4,"mmmm")))</f>
        <v>60</v>
      </c>
      <c r="I11" s="12">
        <f>IFERROR(ROUND(AVERAGEIFS(Data!$E$2:$E$71,Data!$F$2:$F$71,$B11,Data!$B$2:$B$71,TEXT(H4,"mmmm")),2),"")</f>
        <v>9640</v>
      </c>
      <c r="J11" s="13" t="str">
        <f>IF(SUMIFS(Data!$D$2:$D$71,Data!$F$2:$F$71,$B11,Data!$B$2:$B$71,TEXT(J4,"mmmm"))=0,"",SUMIFS(Data!$D$2:$D$71,Data!$F$2:$F$71,$B11,Data!$B$2:$B$71,TEXT(J4,"mmmm")))</f>
        <v/>
      </c>
      <c r="K11" s="13" t="str">
        <f>IFERROR(ROUND(AVERAGEIFS(Data!$E$2:$E$71,Data!$F$2:$F$71,$B11,Data!$B$2:$B$71,TEXT(J4,"mmmm")),2),"")</f>
        <v/>
      </c>
      <c r="L11" s="5"/>
      <c r="M11" s="5"/>
    </row>
    <row r="12" spans="2:13" x14ac:dyDescent="0.25">
      <c r="B12" s="10" t="s">
        <v>47</v>
      </c>
      <c r="C12" s="11" t="s">
        <v>48</v>
      </c>
      <c r="D12" s="12" t="str">
        <f>IF(SUMIFS(Data!$D$2:$D$71,Data!$F$2:$F$71,$B12,Data!$B$2:$B$71,TEXT(D4,"mmmm"))=0,"",SUMIFS(Data!$D$2:$D$71,Data!$F$2:$F$71,$B12,Data!$B$2:$B$71,TEXT(D4,"mmmm")))</f>
        <v/>
      </c>
      <c r="E12" s="12" t="str">
        <f>IFERROR(ROUND(AVERAGEIFS(Data!$E$2:$E$71,Data!$F$2:$F$71,$B12,Data!$B$2:$B$71,TEXT(D4,"mmmm")),2),"")</f>
        <v/>
      </c>
      <c r="F12" s="12" t="str">
        <f>IF(SUMIFS(Data!$D$2:$D$71,Data!$F$2:$F$71,$B12,Data!$B$2:$B$71,TEXT(F4,"mmmm"))=0,"",SUMIFS(Data!$D$2:$D$71,Data!$F$2:$F$71,$B12,Data!$B$2:$B$71,TEXT(F4,"mmmm")))</f>
        <v/>
      </c>
      <c r="G12" s="12" t="str">
        <f>IFERROR(ROUND(AVERAGEIFS(Data!$E$2:$E$71,Data!$F$2:$F$71,$B12,Data!$B$2:$B$71,TEXT(F4,"mmmm")),2),"")</f>
        <v/>
      </c>
      <c r="H12" s="12">
        <f>IF(SUMIFS(Data!$D$2:$D$71,Data!$F$2:$F$71,$B12,Data!$B$2:$B$71,TEXT(H4,"mmmm"))=0,"",SUMIFS(Data!$D$2:$D$71,Data!$F$2:$F$71,$B12,Data!$B$2:$B$71,TEXT(H4,"mmmm")))</f>
        <v>150</v>
      </c>
      <c r="I12" s="12">
        <f>IFERROR(ROUND(AVERAGEIFS(Data!$E$2:$E$71,Data!$F$2:$F$71,$B12,Data!$B$2:$B$71,TEXT(H4,"mmmm")),2),"")</f>
        <v>93000</v>
      </c>
      <c r="J12" s="13" t="str">
        <f>IF(SUMIFS(Data!$D$2:$D$71,Data!$F$2:$F$71,$B12,Data!$B$2:$B$71,TEXT(J4,"mmmm"))=0,"",SUMIFS(Data!$D$2:$D$71,Data!$F$2:$F$71,$B12,Data!$B$2:$B$71,TEXT(J4,"mmmm")))</f>
        <v/>
      </c>
      <c r="K12" s="13" t="str">
        <f>IFERROR(ROUND(AVERAGEIFS(Data!$E$2:$E$71,Data!$F$2:$F$71,$B12,Data!$B$2:$B$71,TEXT(J4,"mmmm")),2),"")</f>
        <v/>
      </c>
      <c r="L12" s="5"/>
      <c r="M12" s="5"/>
    </row>
    <row r="13" spans="2:13" x14ac:dyDescent="0.25">
      <c r="B13" s="10" t="s">
        <v>49</v>
      </c>
      <c r="C13" s="11" t="s">
        <v>50</v>
      </c>
      <c r="D13" s="12">
        <f>IF(SUMIFS(Data!$D$2:$D$71,Data!$F$2:$F$71,$B13,Data!$B$2:$B$71,TEXT(D4,"mmmm"))=0,"",SUMIFS(Data!$D$2:$D$71,Data!$F$2:$F$71,$B13,Data!$B$2:$B$71,TEXT(D4,"mmmm")))</f>
        <v>30</v>
      </c>
      <c r="E13" s="12">
        <f>IFERROR(ROUND(AVERAGEIFS(Data!$E$2:$E$71,Data!$F$2:$F$71,$B13,Data!$B$2:$B$71,TEXT(D4,"mmmm")),2),"")</f>
        <v>690</v>
      </c>
      <c r="F13" s="12" t="str">
        <f>IF(SUMIFS(Data!$D$2:$D$71,Data!$F$2:$F$71,$B13,Data!$B$2:$B$71,TEXT(F4,"mmmm"))=0,"",SUMIFS(Data!$D$2:$D$71,Data!$F$2:$F$71,$B13,Data!$B$2:$B$71,TEXT(F4,"mmmm")))</f>
        <v/>
      </c>
      <c r="G13" s="12" t="str">
        <f>IFERROR(ROUND(AVERAGEIFS(Data!$E$2:$E$71,Data!$F$2:$F$71,$B13,Data!$B$2:$B$71,TEXT(F4,"mmmm")),2),"")</f>
        <v/>
      </c>
      <c r="H13" s="12">
        <f>IF(SUMIFS(Data!$D$2:$D$71,Data!$F$2:$F$71,$B13,Data!$B$2:$B$71,TEXT(H4,"mmmm"))=0,"",SUMIFS(Data!$D$2:$D$71,Data!$F$2:$F$71,$B13,Data!$B$2:$B$71,TEXT(H4,"mmmm")))</f>
        <v>210</v>
      </c>
      <c r="I13" s="12">
        <f>IFERROR(ROUND(AVERAGEIFS(Data!$E$2:$E$71,Data!$F$2:$F$71,$B13,Data!$B$2:$B$71,TEXT(H4,"mmmm")),2),"")</f>
        <v>130200</v>
      </c>
      <c r="J13" s="13" t="str">
        <f>IF(SUMIFS(Data!$D$2:$D$71,Data!$F$2:$F$71,$B13,Data!$B$2:$B$71,TEXT(J4,"mmmm"))=0,"",SUMIFS(Data!$D$2:$D$71,Data!$F$2:$F$71,$B13,Data!$B$2:$B$71,TEXT(J4,"mmmm")))</f>
        <v/>
      </c>
      <c r="K13" s="13" t="str">
        <f>IFERROR(ROUND(AVERAGEIFS(Data!$E$2:$E$71,Data!$F$2:$F$71,$B13,Data!$B$2:$B$71,TEXT(J4,"mmmm")),2),"")</f>
        <v/>
      </c>
      <c r="L13" s="5"/>
      <c r="M13" s="5"/>
    </row>
    <row r="14" spans="2:13" x14ac:dyDescent="0.25">
      <c r="B14" s="10" t="s">
        <v>51</v>
      </c>
      <c r="C14" s="11" t="s">
        <v>50</v>
      </c>
      <c r="D14" s="12" t="str">
        <f>IF(SUMIFS(Data!$D$2:$D$71,Data!$F$2:$F$71,$B14,Data!$B$2:$B$71,TEXT(D4,"mmmm"))=0,"",SUMIFS(Data!$D$2:$D$71,Data!$F$2:$F$71,$B14,Data!$B$2:$B$71,TEXT(D4,"mmmm")))</f>
        <v/>
      </c>
      <c r="E14" s="12" t="str">
        <f>IFERROR(ROUND(AVERAGEIFS(Data!$E$2:$E$71,Data!$F$2:$F$71,$B14,Data!$B$2:$B$71,TEXT(D4,"mmmm")),2),"")</f>
        <v/>
      </c>
      <c r="F14" s="12" t="str">
        <f>IF(SUMIFS(Data!$D$2:$D$71,Data!$F$2:$F$71,$B14,Data!$B$2:$B$71,TEXT(F4,"mmmm"))=0,"",SUMIFS(Data!$D$2:$D$71,Data!$F$2:$F$71,$B14,Data!$B$2:$B$71,TEXT(F4,"mmmm")))</f>
        <v/>
      </c>
      <c r="G14" s="12" t="str">
        <f>IFERROR(ROUND(AVERAGEIFS(Data!$E$2:$E$71,Data!$F$2:$F$71,$B14,Data!$B$2:$B$71,TEXT(F4,"mmmm")),2),"")</f>
        <v/>
      </c>
      <c r="H14" s="12">
        <f>IF(SUMIFS(Data!$D$2:$D$71,Data!$F$2:$F$71,$B14,Data!$B$2:$B$71,TEXT(H4,"mmmm"))=0,"",SUMIFS(Data!$D$2:$D$71,Data!$F$2:$F$71,$B14,Data!$B$2:$B$71,TEXT(H4,"mmmm")))</f>
        <v>30</v>
      </c>
      <c r="I14" s="12">
        <f>IFERROR(ROUND(AVERAGEIFS(Data!$E$2:$E$71,Data!$F$2:$F$71,$B14,Data!$B$2:$B$71,TEXT(H4,"mmmm")),2),"")</f>
        <v>680</v>
      </c>
      <c r="J14" s="13" t="str">
        <f>IF(SUMIFS(Data!$D$2:$D$71,Data!$F$2:$F$71,$B14,Data!$B$2:$B$71,TEXT(J4,"mmmm"))=0,"",SUMIFS(Data!$D$2:$D$71,Data!$F$2:$F$71,$B14,Data!$B$2:$B$71,TEXT(J4,"mmmm")))</f>
        <v/>
      </c>
      <c r="K14" s="13" t="str">
        <f>IFERROR(ROUND(AVERAGEIFS(Data!$E$2:$E$71,Data!$F$2:$F$71,$B14,Data!$B$2:$B$71,TEXT(J4,"mmmm")),2),"")</f>
        <v/>
      </c>
      <c r="L14" s="5"/>
      <c r="M14" s="5"/>
    </row>
    <row r="15" spans="2:13" x14ac:dyDescent="0.25">
      <c r="B15" s="10" t="s">
        <v>52</v>
      </c>
      <c r="C15" s="11" t="s">
        <v>53</v>
      </c>
      <c r="D15" s="12">
        <f>IF(SUMIFS(Data!$D$2:$D$71,Data!$F$2:$F$71,$B15,Data!$B$2:$B$71,TEXT(D4,"mmmm"))=0,"",SUMIFS(Data!$D$2:$D$71,Data!$F$2:$F$71,$B15,Data!$B$2:$B$71,TEXT(D4,"mmmm")))</f>
        <v>270</v>
      </c>
      <c r="E15" s="12">
        <f>IFERROR(ROUND(AVERAGEIFS(Data!$E$2:$E$71,Data!$F$2:$F$71,$B15,Data!$B$2:$B$71,TEXT(D4,"mmmm")),2),"")</f>
        <v>231.67</v>
      </c>
      <c r="F15" s="12">
        <f>IF(SUMIFS(Data!$D$2:$D$71,Data!$F$2:$F$71,$B15,Data!$B$2:$B$71,TEXT(F4,"mmmm"))=0,"",SUMIFS(Data!$D$2:$D$71,Data!$F$2:$F$71,$B15,Data!$B$2:$B$71,TEXT(F4,"mmmm")))</f>
        <v>660</v>
      </c>
      <c r="G15" s="12">
        <f>IFERROR(ROUND(AVERAGEIFS(Data!$E$2:$E$71,Data!$F$2:$F$71,$B15,Data!$B$2:$B$71,TEXT(F4,"mmmm")),2),"")</f>
        <v>226.67</v>
      </c>
      <c r="H15" s="12">
        <f>IF(SUMIFS(Data!$D$2:$D$71,Data!$F$2:$F$71,$B15,Data!$B$2:$B$71,TEXT(H4,"mmmm"))=0,"",SUMIFS(Data!$D$2:$D$71,Data!$F$2:$F$71,$B15,Data!$B$2:$B$71,TEXT(H4,"mmmm")))</f>
        <v>800</v>
      </c>
      <c r="I15" s="12">
        <f>IFERROR(ROUND(AVERAGEIFS(Data!$E$2:$E$71,Data!$F$2:$F$71,$B15,Data!$B$2:$B$71,TEXT(H4,"mmmm")),2),"")</f>
        <v>321.67</v>
      </c>
      <c r="J15" s="13">
        <f>IF(SUMIFS(Data!$D$2:$D$71,Data!$F$2:$F$71,$B15,Data!$B$2:$B$71,TEXT(J4,"mmmm"))=0,"",SUMIFS(Data!$D$2:$D$71,Data!$F$2:$F$71,$B15,Data!$B$2:$B$71,TEXT(J4,"mmmm")))</f>
        <v>420</v>
      </c>
      <c r="K15" s="13">
        <f>IFERROR(ROUND(AVERAGEIFS(Data!$E$2:$E$71,Data!$F$2:$F$71,$B15,Data!$B$2:$B$71,TEXT(J4,"mmmm")),2),"")</f>
        <v>218.75</v>
      </c>
      <c r="L15" s="5"/>
      <c r="M15" s="5"/>
    </row>
    <row r="16" spans="2:13" x14ac:dyDescent="0.25">
      <c r="B16" s="10" t="s">
        <v>54</v>
      </c>
      <c r="C16" s="11" t="s">
        <v>55</v>
      </c>
      <c r="D16" s="12">
        <f>IF(SUMIFS(Data!$D$2:$D$71,Data!$F$2:$F$71,$B16,Data!$B$2:$B$71,TEXT(D4,"mmmm"))=0,"",SUMIFS(Data!$D$2:$D$71,Data!$F$2:$F$71,$B16,Data!$B$2:$B$71,TEXT(D4,"mmmm")))</f>
        <v>180</v>
      </c>
      <c r="E16" s="12">
        <f>IFERROR(ROUND(AVERAGEIFS(Data!$E$2:$E$71,Data!$F$2:$F$71,$B16,Data!$B$2:$B$71,TEXT(D4,"mmmm")),2),"")</f>
        <v>60.58</v>
      </c>
      <c r="F16" s="12">
        <f>IF(SUMIFS(Data!$D$2:$D$71,Data!$F$2:$F$71,$B16,Data!$B$2:$B$71,TEXT(F4,"mmmm"))=0,"",SUMIFS(Data!$D$2:$D$71,Data!$F$2:$F$71,$B16,Data!$B$2:$B$71,TEXT(F4,"mmmm")))</f>
        <v>550</v>
      </c>
      <c r="G16" s="12">
        <f>IFERROR(ROUND(AVERAGEIFS(Data!$E$2:$E$71,Data!$F$2:$F$71,$B16,Data!$B$2:$B$71,TEXT(F4,"mmmm")),2),"")</f>
        <v>55</v>
      </c>
      <c r="H16" s="12" t="str">
        <f>IF(SUMIFS(Data!$D$2:$D$71,Data!$F$2:$F$71,$B16,Data!$B$2:$B$71,TEXT(H4,"mmmm"))=0,"",SUMIFS(Data!$D$2:$D$71,Data!$F$2:$F$71,$B16,Data!$B$2:$B$71,TEXT(H4,"mmmm")))</f>
        <v/>
      </c>
      <c r="I16" s="12" t="str">
        <f>IFERROR(ROUND(AVERAGEIFS(Data!$E$2:$E$71,Data!$F$2:$F$71,$B16,Data!$B$2:$B$71,TEXT(H4,"mmmm")),2),"")</f>
        <v/>
      </c>
      <c r="J16" s="13" t="str">
        <f>IF(SUMIFS(Data!$D$2:$D$71,Data!$F$2:$F$71,$B16,Data!$B$2:$B$71,TEXT(J4,"mmmm"))=0,"",SUMIFS(Data!$D$2:$D$71,Data!$F$2:$F$71,$B16,Data!$B$2:$B$71,TEXT(J4,"mmmm")))</f>
        <v/>
      </c>
      <c r="K16" s="13" t="str">
        <f>IFERROR(ROUND(AVERAGEIFS(Data!$E$2:$E$71,Data!$F$2:$F$71,$B16,Data!$B$2:$B$71,TEXT(J4,"mmmm")),2),"")</f>
        <v/>
      </c>
      <c r="L16" s="5">
        <v>1000</v>
      </c>
      <c r="M16" s="5">
        <v>52</v>
      </c>
    </row>
    <row r="17" spans="2:13" x14ac:dyDescent="0.25">
      <c r="B17" s="10" t="s">
        <v>56</v>
      </c>
      <c r="C17" s="11" t="s">
        <v>57</v>
      </c>
      <c r="D17" s="12">
        <f>IF(SUMIFS(Data!$D$2:$D$71,Data!$F$2:$F$71,$B17,Data!$B$2:$B$71,TEXT(D4,"mmmm"))=0,"",SUMIFS(Data!$D$2:$D$71,Data!$F$2:$F$71,$B17,Data!$B$2:$B$71,TEXT(D4,"mmmm")))</f>
        <v>30</v>
      </c>
      <c r="E17" s="12">
        <f>IFERROR(ROUND(AVERAGEIFS(Data!$E$2:$E$71,Data!$F$2:$F$71,$B17,Data!$B$2:$B$71,TEXT(D4,"mmmm")),2),"")</f>
        <v>60</v>
      </c>
      <c r="F17" s="12" t="str">
        <f>IF(SUMIFS(Data!$D$2:$D$71,Data!$F$2:$F$71,$B17,Data!$B$2:$B$71,TEXT(F4,"mmmm"))=0,"",SUMIFS(Data!$D$2:$D$71,Data!$F$2:$F$71,$B17,Data!$B$2:$B$71,TEXT(F4,"mmmm")))</f>
        <v/>
      </c>
      <c r="G17" s="12" t="str">
        <f>IFERROR(ROUND(AVERAGEIFS(Data!$E$2:$E$71,Data!$F$2:$F$71,$B17,Data!$B$2:$B$71,TEXT(F4,"mmmm")),2),"")</f>
        <v/>
      </c>
      <c r="H17" s="12" t="str">
        <f>IF(SUMIFS(Data!$D$2:$D$71,Data!$F$2:$F$71,$B17,Data!$B$2:$B$71,TEXT(H4,"mmmm"))=0,"",SUMIFS(Data!$D$2:$D$71,Data!$F$2:$F$71,$B17,Data!$B$2:$B$71,TEXT(H4,"mmmm")))</f>
        <v/>
      </c>
      <c r="I17" s="12" t="str">
        <f>IFERROR(ROUND(AVERAGEIFS(Data!$E$2:$E$71,Data!$F$2:$F$71,$B17,Data!$B$2:$B$71,TEXT(H4,"mmmm")),2),"")</f>
        <v/>
      </c>
      <c r="J17" s="13" t="str">
        <f>IF(SUMIFS(Data!$D$2:$D$71,Data!$F$2:$F$71,$B17,Data!$B$2:$B$71,TEXT(J4,"mmmm"))=0,"",SUMIFS(Data!$D$2:$D$71,Data!$F$2:$F$71,$B17,Data!$B$2:$B$71,TEXT(J4,"mmmm")))</f>
        <v/>
      </c>
      <c r="K17" s="13" t="str">
        <f>IFERROR(ROUND(AVERAGEIFS(Data!$E$2:$E$71,Data!$F$2:$F$71,$B17,Data!$B$2:$B$71,TEXT(J4,"mmmm")),2),"")</f>
        <v/>
      </c>
      <c r="L17" s="5"/>
      <c r="M17" s="5"/>
    </row>
    <row r="18" spans="2:13" x14ac:dyDescent="0.25">
      <c r="B18" s="10" t="s">
        <v>58</v>
      </c>
      <c r="C18" s="11" t="s">
        <v>59</v>
      </c>
      <c r="D18" s="12">
        <f>IF(SUMIFS(Data!$D$2:$D$71,Data!$F$2:$F$71,$B18,Data!$B$2:$B$71,TEXT(D4,"mmmm"))=0,"",SUMIFS(Data!$D$2:$D$71,Data!$F$2:$F$71,$B18,Data!$B$2:$B$71,TEXT(D4,"mmmm")))</f>
        <v>10</v>
      </c>
      <c r="E18" s="12">
        <f>IFERROR(ROUND(AVERAGEIFS(Data!$E$2:$E$71,Data!$F$2:$F$71,$B18,Data!$B$2:$B$71,TEXT(D4,"mmmm")),2),"")</f>
        <v>1300</v>
      </c>
      <c r="F18" s="12">
        <f>IF(SUMIFS(Data!$D$2:$D$71,Data!$F$2:$F$71,$B18,Data!$B$2:$B$71,TEXT(F4,"mmmm"))=0,"",SUMIFS(Data!$D$2:$D$71,Data!$F$2:$F$71,$B18,Data!$B$2:$B$71,TEXT(F4,"mmmm")))</f>
        <v>80</v>
      </c>
      <c r="G18" s="12">
        <f>IFERROR(ROUND(AVERAGEIFS(Data!$E$2:$E$71,Data!$F$2:$F$71,$B18,Data!$B$2:$B$71,TEXT(F4,"mmmm")),2),"")</f>
        <v>1300</v>
      </c>
      <c r="H18" s="12">
        <f>IF(SUMIFS(Data!$D$2:$D$71,Data!$F$2:$F$71,$B18,Data!$B$2:$B$71,TEXT(H4,"mmmm"))=0,"",SUMIFS(Data!$D$2:$D$71,Data!$F$2:$F$71,$B18,Data!$B$2:$B$71,TEXT(H4,"mmmm")))</f>
        <v>250</v>
      </c>
      <c r="I18" s="12">
        <f>IFERROR(ROUND(AVERAGEIFS(Data!$E$2:$E$71,Data!$F$2:$F$71,$B18,Data!$B$2:$B$71,TEXT(H4,"mmmm")),2),"")</f>
        <v>250</v>
      </c>
      <c r="J18" s="13" t="str">
        <f>IF(SUMIFS(Data!$D$2:$D$71,Data!$F$2:$F$71,$B18,Data!$B$2:$B$71,TEXT(J4,"mmmm"))=0,"",SUMIFS(Data!$D$2:$D$71,Data!$F$2:$F$71,$B18,Data!$B$2:$B$71,TEXT(J4,"mmmm")))</f>
        <v/>
      </c>
      <c r="K18" s="13" t="str">
        <f>IFERROR(ROUND(AVERAGEIFS(Data!$E$2:$E$71,Data!$F$2:$F$71,$B18,Data!$B$2:$B$71,TEXT(J4,"mmmm")),2),"")</f>
        <v/>
      </c>
      <c r="L18" s="5"/>
      <c r="M18" s="5"/>
    </row>
    <row r="19" spans="2:13" x14ac:dyDescent="0.25">
      <c r="C19" s="8" t="s">
        <v>60</v>
      </c>
      <c r="D19" s="8">
        <f>SUM(D6:D18)</f>
        <v>850</v>
      </c>
      <c r="F19" s="8">
        <f>SUM(F6:F18)</f>
        <v>1950</v>
      </c>
      <c r="H19" s="8">
        <f>SUM(H6:H18)</f>
        <v>3626</v>
      </c>
      <c r="J19" s="8">
        <f>SUM(J6:J18)</f>
        <v>510</v>
      </c>
      <c r="L19">
        <f>SUM(L6:L18)</f>
        <v>1000</v>
      </c>
      <c r="M19">
        <f>SUM(M6:M18)</f>
        <v>52</v>
      </c>
    </row>
  </sheetData>
  <mergeCells count="7">
    <mergeCell ref="L4:M4"/>
    <mergeCell ref="C2:K2"/>
    <mergeCell ref="C4:C5"/>
    <mergeCell ref="D4:E4"/>
    <mergeCell ref="F4:G4"/>
    <mergeCell ref="H4:I4"/>
    <mergeCell ref="J4:K4"/>
  </mergeCells>
  <pageMargins left="0.7" right="0.7" top="0.75" bottom="0.75" header="0.511811023622047" footer="0.511811023622047"/>
  <pageSetup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2:N25"/>
  <sheetViews>
    <sheetView zoomScale="70" zoomScaleNormal="70" workbookViewId="0">
      <selection activeCell="A5" sqref="A5:A7"/>
    </sheetView>
  </sheetViews>
  <sheetFormatPr defaultColWidth="8.7109375" defaultRowHeight="15" x14ac:dyDescent="0.25"/>
  <cols>
    <col min="1" max="1" width="13.140625" bestFit="1" customWidth="1"/>
    <col min="3" max="3" width="16" customWidth="1"/>
    <col min="4" max="4" width="30.7109375" customWidth="1"/>
    <col min="5" max="5" width="15.140625" customWidth="1"/>
    <col min="6" max="6" width="16.140625" style="74" customWidth="1"/>
    <col min="7" max="7" width="16" style="74" customWidth="1"/>
    <col min="8" max="8" width="21.42578125" style="74" customWidth="1"/>
    <col min="9" max="9" width="19.5703125" customWidth="1"/>
    <col min="10" max="10" width="12" customWidth="1"/>
    <col min="11" max="11" width="22" customWidth="1"/>
    <col min="12" max="12" width="11.7109375" customWidth="1"/>
    <col min="13" max="13" width="12" bestFit="1" customWidth="1"/>
    <col min="14" max="14" width="36.5703125" bestFit="1" customWidth="1"/>
  </cols>
  <sheetData>
    <row r="2" spans="1:14" ht="15.75" customHeight="1" x14ac:dyDescent="0.25">
      <c r="C2" s="14" t="s">
        <v>61</v>
      </c>
    </row>
    <row r="4" spans="1:14" ht="30" x14ac:dyDescent="0.25">
      <c r="A4" s="14" t="s">
        <v>61</v>
      </c>
      <c r="B4" s="14" t="s">
        <v>110</v>
      </c>
      <c r="C4" s="14" t="s">
        <v>63</v>
      </c>
      <c r="D4" s="14" t="s">
        <v>31</v>
      </c>
      <c r="E4" s="14" t="s">
        <v>64</v>
      </c>
      <c r="F4" s="121" t="s">
        <v>65</v>
      </c>
      <c r="G4" s="121" t="s">
        <v>66</v>
      </c>
      <c r="H4" s="121" t="s">
        <v>3</v>
      </c>
      <c r="I4" s="17" t="s">
        <v>67</v>
      </c>
      <c r="J4" s="14" t="s">
        <v>68</v>
      </c>
      <c r="K4" s="14" t="s">
        <v>69</v>
      </c>
      <c r="L4" s="14" t="s">
        <v>138</v>
      </c>
      <c r="M4" s="14" t="s">
        <v>143</v>
      </c>
      <c r="N4" s="14" t="s">
        <v>139</v>
      </c>
    </row>
    <row r="5" spans="1:14" ht="15.75" customHeight="1" x14ac:dyDescent="0.25">
      <c r="A5" s="166" t="s">
        <v>5</v>
      </c>
      <c r="B5" s="16" t="s">
        <v>62</v>
      </c>
      <c r="C5" s="174" t="s">
        <v>70</v>
      </c>
      <c r="D5" s="5" t="s">
        <v>36</v>
      </c>
      <c r="E5" s="5">
        <v>60</v>
      </c>
      <c r="F5" s="82">
        <v>680</v>
      </c>
      <c r="G5" s="82">
        <v>40800</v>
      </c>
      <c r="H5" s="82">
        <v>40800</v>
      </c>
      <c r="I5" s="5">
        <v>0</v>
      </c>
      <c r="J5" s="19"/>
      <c r="K5" s="5" t="str">
        <f>IF(J5&gt;0,G5-J5,"")</f>
        <v/>
      </c>
      <c r="L5" s="5"/>
      <c r="M5" s="5"/>
      <c r="N5" s="5"/>
    </row>
    <row r="6" spans="1:14" x14ac:dyDescent="0.25">
      <c r="A6" s="167"/>
      <c r="C6" s="174"/>
      <c r="D6" s="5" t="s">
        <v>53</v>
      </c>
      <c r="E6" s="5">
        <v>30</v>
      </c>
      <c r="F6" s="82">
        <v>230</v>
      </c>
      <c r="G6" s="82">
        <v>6900</v>
      </c>
      <c r="H6" s="82">
        <v>6900</v>
      </c>
      <c r="I6" s="5">
        <v>0</v>
      </c>
      <c r="J6" s="19"/>
      <c r="K6" s="5" t="str">
        <f>IF(J6&gt;0,G6-J6,"")</f>
        <v/>
      </c>
      <c r="L6" s="5"/>
      <c r="M6" s="5"/>
      <c r="N6" s="5"/>
    </row>
    <row r="7" spans="1:14" x14ac:dyDescent="0.25">
      <c r="A7" s="167"/>
      <c r="C7" s="18" t="s">
        <v>71</v>
      </c>
      <c r="D7" s="5" t="s">
        <v>72</v>
      </c>
      <c r="E7" s="5">
        <v>10</v>
      </c>
      <c r="F7" s="82">
        <v>1300</v>
      </c>
      <c r="G7" s="82">
        <v>13000</v>
      </c>
      <c r="H7" s="82">
        <v>13000</v>
      </c>
      <c r="I7" s="5">
        <v>0</v>
      </c>
      <c r="J7" s="19"/>
      <c r="K7" s="5" t="str">
        <f>IF(J7&gt;0,G7-J7,"")</f>
        <v/>
      </c>
      <c r="L7" s="5"/>
      <c r="M7" s="5"/>
      <c r="N7" s="5"/>
    </row>
    <row r="8" spans="1:14" x14ac:dyDescent="0.25">
      <c r="C8" s="20"/>
      <c r="F8" s="122" t="s">
        <v>73</v>
      </c>
      <c r="G8" s="74">
        <f>SUM(G5:G7)-SUM(J5:J7)</f>
        <v>60700</v>
      </c>
      <c r="H8" s="74">
        <f>H5+H6+H7</f>
        <v>60700</v>
      </c>
      <c r="I8">
        <f>I18</f>
        <v>0</v>
      </c>
      <c r="J8">
        <f>SUM(J5:J7)</f>
        <v>0</v>
      </c>
      <c r="K8" s="74">
        <f>G8</f>
        <v>60700</v>
      </c>
    </row>
    <row r="10" spans="1:14" ht="30" x14ac:dyDescent="0.25">
      <c r="B10" s="14" t="s">
        <v>110</v>
      </c>
      <c r="C10" s="14" t="s">
        <v>63</v>
      </c>
      <c r="D10" s="14" t="s">
        <v>31</v>
      </c>
      <c r="E10" s="14" t="s">
        <v>64</v>
      </c>
      <c r="F10" s="121" t="s">
        <v>65</v>
      </c>
      <c r="G10" s="121" t="s">
        <v>66</v>
      </c>
      <c r="H10" s="121" t="s">
        <v>3</v>
      </c>
      <c r="I10" s="17" t="s">
        <v>67</v>
      </c>
      <c r="J10" s="14" t="s">
        <v>68</v>
      </c>
      <c r="K10" s="14" t="s">
        <v>69</v>
      </c>
      <c r="L10" s="14" t="s">
        <v>138</v>
      </c>
      <c r="M10" s="14" t="s">
        <v>143</v>
      </c>
      <c r="N10" s="14" t="s">
        <v>139</v>
      </c>
    </row>
    <row r="11" spans="1:14" x14ac:dyDescent="0.25">
      <c r="B11" s="16" t="s">
        <v>74</v>
      </c>
      <c r="C11" s="175">
        <v>46058</v>
      </c>
      <c r="D11" s="5" t="s">
        <v>36</v>
      </c>
      <c r="E11" s="5">
        <v>90</v>
      </c>
      <c r="F11" s="82">
        <v>680</v>
      </c>
      <c r="G11" s="82">
        <v>61200</v>
      </c>
      <c r="H11" s="82">
        <v>61200</v>
      </c>
      <c r="I11" s="5">
        <v>0</v>
      </c>
      <c r="J11" s="19"/>
      <c r="K11" s="5" t="str">
        <f t="shared" ref="K11:K17" si="0">IF(J11&gt;0,G11-J11,"")</f>
        <v/>
      </c>
      <c r="L11" s="168">
        <v>46058</v>
      </c>
      <c r="M11" s="170">
        <v>68100</v>
      </c>
      <c r="N11" s="5"/>
    </row>
    <row r="12" spans="1:14" x14ac:dyDescent="0.25">
      <c r="C12" s="175"/>
      <c r="D12" s="5" t="s">
        <v>53</v>
      </c>
      <c r="E12" s="5">
        <v>30</v>
      </c>
      <c r="F12" s="82">
        <v>230</v>
      </c>
      <c r="G12" s="82">
        <v>6900</v>
      </c>
      <c r="H12" s="82">
        <v>6900</v>
      </c>
      <c r="I12" s="5">
        <v>0</v>
      </c>
      <c r="J12" s="19"/>
      <c r="K12" s="5" t="str">
        <f t="shared" si="0"/>
        <v/>
      </c>
      <c r="L12" s="169"/>
      <c r="M12" s="171"/>
      <c r="N12" s="5"/>
    </row>
    <row r="13" spans="1:14" x14ac:dyDescent="0.25">
      <c r="C13" s="175">
        <v>46331</v>
      </c>
      <c r="D13" s="5" t="s">
        <v>36</v>
      </c>
      <c r="E13" s="5">
        <v>60</v>
      </c>
      <c r="F13" s="82">
        <v>680</v>
      </c>
      <c r="G13" s="82">
        <v>40800</v>
      </c>
      <c r="H13" s="82">
        <v>40800</v>
      </c>
      <c r="I13" s="5">
        <v>0</v>
      </c>
      <c r="J13" s="19"/>
      <c r="K13" s="5" t="str">
        <f t="shared" si="0"/>
        <v/>
      </c>
      <c r="L13" s="168">
        <v>46331</v>
      </c>
      <c r="M13" s="170">
        <v>47700</v>
      </c>
      <c r="N13" s="5"/>
    </row>
    <row r="14" spans="1:14" x14ac:dyDescent="0.25">
      <c r="C14" s="175"/>
      <c r="D14" s="5" t="s">
        <v>53</v>
      </c>
      <c r="E14" s="5">
        <v>30</v>
      </c>
      <c r="F14" s="82">
        <v>230</v>
      </c>
      <c r="G14" s="82">
        <v>6900</v>
      </c>
      <c r="H14" s="82">
        <v>6900</v>
      </c>
      <c r="I14" s="5">
        <v>0</v>
      </c>
      <c r="J14" s="19"/>
      <c r="K14" s="5" t="str">
        <f t="shared" si="0"/>
        <v/>
      </c>
      <c r="L14" s="177"/>
      <c r="M14" s="171"/>
      <c r="N14" s="5"/>
    </row>
    <row r="15" spans="1:14" x14ac:dyDescent="0.25">
      <c r="C15" s="176" t="s">
        <v>76</v>
      </c>
      <c r="D15" s="5" t="s">
        <v>36</v>
      </c>
      <c r="E15" s="5">
        <v>30</v>
      </c>
      <c r="F15" s="82">
        <v>680</v>
      </c>
      <c r="G15" s="82">
        <v>20400</v>
      </c>
      <c r="H15" s="82">
        <v>20400</v>
      </c>
      <c r="I15" s="5">
        <v>0</v>
      </c>
      <c r="J15" s="19"/>
      <c r="K15" s="5" t="str">
        <f t="shared" si="0"/>
        <v/>
      </c>
      <c r="L15" s="178" t="s">
        <v>76</v>
      </c>
      <c r="M15" s="170">
        <v>47700</v>
      </c>
      <c r="N15" s="5"/>
    </row>
    <row r="16" spans="1:14" x14ac:dyDescent="0.25">
      <c r="C16" s="176"/>
      <c r="D16" s="5" t="s">
        <v>38</v>
      </c>
      <c r="E16" s="5">
        <v>30</v>
      </c>
      <c r="F16" s="82">
        <v>680</v>
      </c>
      <c r="G16" s="82">
        <v>20400</v>
      </c>
      <c r="H16" s="82">
        <v>20400</v>
      </c>
      <c r="I16" s="5">
        <v>0</v>
      </c>
      <c r="J16" s="19"/>
      <c r="K16" s="5" t="str">
        <f t="shared" si="0"/>
        <v/>
      </c>
      <c r="L16" s="179"/>
      <c r="M16" s="180"/>
      <c r="N16" s="5"/>
    </row>
    <row r="17" spans="2:14" x14ac:dyDescent="0.25">
      <c r="C17" s="176"/>
      <c r="D17" s="5" t="s">
        <v>53</v>
      </c>
      <c r="E17" s="5">
        <v>30</v>
      </c>
      <c r="F17" s="82">
        <v>230</v>
      </c>
      <c r="G17" s="82">
        <v>6900</v>
      </c>
      <c r="H17" s="82">
        <v>6900</v>
      </c>
      <c r="I17" s="5">
        <v>0</v>
      </c>
      <c r="J17" s="19"/>
      <c r="K17" s="5" t="str">
        <f t="shared" si="0"/>
        <v/>
      </c>
      <c r="L17" s="169"/>
      <c r="M17" s="171"/>
      <c r="N17" s="5"/>
    </row>
    <row r="18" spans="2:14" x14ac:dyDescent="0.25">
      <c r="F18" s="122" t="s">
        <v>73</v>
      </c>
      <c r="G18" s="74">
        <f>SUM(G11:G17)-SUM(J11:J17)</f>
        <v>163500</v>
      </c>
      <c r="H18" s="74">
        <f>SUM(H11:H17)</f>
        <v>163500</v>
      </c>
      <c r="I18">
        <f>IF(AND(G18="", H18=""), "", G2-H2)</f>
        <v>0</v>
      </c>
      <c r="J18">
        <f>SUM(J9:J17)</f>
        <v>0</v>
      </c>
      <c r="K18" s="74">
        <f>G18</f>
        <v>163500</v>
      </c>
    </row>
    <row r="20" spans="2:14" ht="30" x14ac:dyDescent="0.25">
      <c r="B20" s="14" t="s">
        <v>110</v>
      </c>
      <c r="C20" s="14" t="s">
        <v>63</v>
      </c>
      <c r="D20" s="14" t="s">
        <v>31</v>
      </c>
      <c r="E20" s="14" t="s">
        <v>64</v>
      </c>
      <c r="F20" s="121" t="s">
        <v>65</v>
      </c>
      <c r="G20" s="121" t="s">
        <v>66</v>
      </c>
      <c r="H20" s="121" t="s">
        <v>3</v>
      </c>
      <c r="I20" s="17" t="s">
        <v>67</v>
      </c>
      <c r="J20" s="14" t="s">
        <v>68</v>
      </c>
      <c r="K20" s="14" t="s">
        <v>69</v>
      </c>
      <c r="L20" s="14" t="s">
        <v>138</v>
      </c>
      <c r="M20" s="14" t="s">
        <v>143</v>
      </c>
      <c r="N20" s="14" t="s">
        <v>139</v>
      </c>
    </row>
    <row r="21" spans="2:14" x14ac:dyDescent="0.25">
      <c r="B21" s="16" t="s">
        <v>77</v>
      </c>
      <c r="C21" s="175">
        <v>46240</v>
      </c>
      <c r="D21" s="5" t="s">
        <v>40</v>
      </c>
      <c r="E21" s="5">
        <v>60</v>
      </c>
      <c r="F21" s="82">
        <v>680</v>
      </c>
      <c r="G21" s="82">
        <v>40800</v>
      </c>
      <c r="H21" s="82">
        <v>40800</v>
      </c>
      <c r="I21" s="5">
        <f>IF(AND(G21="",H21=""),"",G21-H21)</f>
        <v>0</v>
      </c>
      <c r="J21" s="19"/>
      <c r="K21" s="5" t="str">
        <f>IF(J21&gt;0,G21-J21,"")</f>
        <v/>
      </c>
      <c r="L21" s="168">
        <v>46271</v>
      </c>
      <c r="M21" s="170">
        <v>61200</v>
      </c>
      <c r="N21" s="172"/>
    </row>
    <row r="22" spans="2:14" x14ac:dyDescent="0.25">
      <c r="C22" s="175"/>
      <c r="D22" s="5" t="s">
        <v>78</v>
      </c>
      <c r="E22" s="5">
        <v>30</v>
      </c>
      <c r="F22" s="82">
        <v>680</v>
      </c>
      <c r="G22" s="82">
        <v>20400</v>
      </c>
      <c r="H22" s="82">
        <v>20400</v>
      </c>
      <c r="I22" s="5">
        <f>IF(AND(G22="",H22=""),"",G22-H22)</f>
        <v>0</v>
      </c>
      <c r="J22" s="19"/>
      <c r="K22" s="5" t="str">
        <f>IF(J22&gt;0,G22-J22,"")</f>
        <v/>
      </c>
      <c r="L22" s="169"/>
      <c r="M22" s="171"/>
      <c r="N22" s="173"/>
    </row>
    <row r="23" spans="2:14" x14ac:dyDescent="0.25">
      <c r="C23" s="22" t="s">
        <v>79</v>
      </c>
      <c r="D23" s="5" t="s">
        <v>40</v>
      </c>
      <c r="E23" s="5">
        <v>60</v>
      </c>
      <c r="F23" s="82">
        <v>680</v>
      </c>
      <c r="G23" s="82">
        <v>40800</v>
      </c>
      <c r="H23" s="82">
        <v>40800</v>
      </c>
      <c r="I23" s="5">
        <f>IF(AND(G23="",H23=""),"",G23-H23)</f>
        <v>0</v>
      </c>
      <c r="J23" s="19"/>
      <c r="K23" s="5" t="str">
        <f>IF(J23&gt;0,G23-J23,"")</f>
        <v/>
      </c>
      <c r="L23" s="80" t="s">
        <v>108</v>
      </c>
      <c r="M23" s="82">
        <v>40800</v>
      </c>
      <c r="N23" s="5" t="s">
        <v>163</v>
      </c>
    </row>
    <row r="24" spans="2:14" x14ac:dyDescent="0.25">
      <c r="C24" s="22" t="s">
        <v>80</v>
      </c>
      <c r="D24" s="5" t="s">
        <v>40</v>
      </c>
      <c r="E24" s="5">
        <v>60</v>
      </c>
      <c r="F24" s="82">
        <v>680</v>
      </c>
      <c r="G24" s="82">
        <v>40800</v>
      </c>
      <c r="H24" s="82">
        <v>40800</v>
      </c>
      <c r="I24" s="5">
        <f>IF(AND(G24="",H24=""),"",G24-H24)</f>
        <v>0</v>
      </c>
      <c r="J24" s="19"/>
      <c r="K24" s="5" t="str">
        <f>IF(J24&gt;0,G24-J24,"")</f>
        <v/>
      </c>
      <c r="L24" s="80" t="s">
        <v>145</v>
      </c>
      <c r="M24" s="82">
        <v>40800</v>
      </c>
      <c r="N24" s="5"/>
    </row>
    <row r="25" spans="2:14" x14ac:dyDescent="0.25">
      <c r="F25" s="122" t="s">
        <v>73</v>
      </c>
      <c r="G25" s="74">
        <f>SUM(G21:G24)-SUM(J21:J24)</f>
        <v>142800</v>
      </c>
      <c r="H25" s="74">
        <f>SUM(H21:H24)</f>
        <v>142800</v>
      </c>
      <c r="I25">
        <f>IF(AND(G25="", H25=""), "", G25-H25)</f>
        <v>0</v>
      </c>
      <c r="J25">
        <f>SUM(J19:J24)</f>
        <v>0</v>
      </c>
      <c r="K25" s="74">
        <f>G25</f>
        <v>142800</v>
      </c>
      <c r="L25" t="s">
        <v>73</v>
      </c>
      <c r="M25" s="75">
        <f>SUM(M21:M24)</f>
        <v>142800</v>
      </c>
    </row>
  </sheetData>
  <mergeCells count="15">
    <mergeCell ref="A5:A7"/>
    <mergeCell ref="L21:L22"/>
    <mergeCell ref="M21:M22"/>
    <mergeCell ref="N21:N22"/>
    <mergeCell ref="C5:C6"/>
    <mergeCell ref="C11:C12"/>
    <mergeCell ref="C13:C14"/>
    <mergeCell ref="C15:C17"/>
    <mergeCell ref="C21:C22"/>
    <mergeCell ref="L13:L14"/>
    <mergeCell ref="M13:M14"/>
    <mergeCell ref="L15:L17"/>
    <mergeCell ref="M15:M17"/>
    <mergeCell ref="L11:L12"/>
    <mergeCell ref="M11:M12"/>
  </mergeCells>
  <pageMargins left="0.7" right="0.7" top="0.75" bottom="0.75"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2:N13"/>
  <sheetViews>
    <sheetView topLeftCell="DH1" zoomScale="70" zoomScaleNormal="70" workbookViewId="0">
      <selection activeCell="B3" sqref="A3:B3"/>
    </sheetView>
  </sheetViews>
  <sheetFormatPr defaultColWidth="8.7109375" defaultRowHeight="15" x14ac:dyDescent="0.25"/>
  <cols>
    <col min="3" max="3" width="15.7109375" customWidth="1"/>
    <col min="4" max="4" width="34.7109375" customWidth="1"/>
    <col min="5" max="5" width="16.42578125" customWidth="1"/>
    <col min="6" max="6" width="9.7109375" customWidth="1"/>
    <col min="7" max="7" width="17.42578125" style="74" customWidth="1"/>
    <col min="8" max="8" width="17.28515625" style="74" customWidth="1"/>
    <col min="9" max="9" width="16.5703125" customWidth="1"/>
    <col min="10" max="10" width="12" customWidth="1"/>
    <col min="11" max="11" width="13.5703125" customWidth="1"/>
    <col min="12" max="12" width="10.140625" bestFit="1" customWidth="1"/>
    <col min="13" max="13" width="11" bestFit="1" customWidth="1"/>
    <col min="14" max="14" width="26.42578125" customWidth="1"/>
  </cols>
  <sheetData>
    <row r="2" spans="1:14" ht="18.75" customHeight="1" x14ac:dyDescent="0.25">
      <c r="D2" s="24"/>
    </row>
    <row r="3" spans="1:14" ht="45" x14ac:dyDescent="0.25">
      <c r="A3" s="14" t="s">
        <v>61</v>
      </c>
      <c r="B3" s="14" t="s">
        <v>110</v>
      </c>
      <c r="C3" s="25" t="s">
        <v>63</v>
      </c>
      <c r="D3" s="25" t="s">
        <v>31</v>
      </c>
      <c r="E3" s="25" t="s">
        <v>64</v>
      </c>
      <c r="F3" s="25" t="s">
        <v>65</v>
      </c>
      <c r="G3" s="123" t="s">
        <v>66</v>
      </c>
      <c r="H3" s="123" t="s">
        <v>3</v>
      </c>
      <c r="I3" s="17" t="s">
        <v>67</v>
      </c>
      <c r="J3" s="25" t="s">
        <v>68</v>
      </c>
      <c r="K3" s="25" t="s">
        <v>69</v>
      </c>
      <c r="L3" s="14" t="s">
        <v>138</v>
      </c>
      <c r="M3" s="14" t="s">
        <v>143</v>
      </c>
      <c r="N3" s="14" t="s">
        <v>139</v>
      </c>
    </row>
    <row r="4" spans="1:14" ht="18.75" x14ac:dyDescent="0.25">
      <c r="A4" s="23" t="s">
        <v>6</v>
      </c>
      <c r="B4" s="16" t="s">
        <v>62</v>
      </c>
      <c r="C4" s="176" t="s">
        <v>81</v>
      </c>
      <c r="D4" s="5" t="s">
        <v>40</v>
      </c>
      <c r="E4" s="5">
        <v>30</v>
      </c>
      <c r="F4" s="5">
        <v>700</v>
      </c>
      <c r="G4" s="82">
        <v>21000</v>
      </c>
      <c r="H4" s="82">
        <v>21000</v>
      </c>
      <c r="I4" s="26">
        <v>0</v>
      </c>
      <c r="J4" s="19"/>
      <c r="K4" s="5" t="str">
        <f t="shared" ref="K4:K12" si="0">IF(J4&gt;0,G4-J4,"")</f>
        <v/>
      </c>
      <c r="L4" s="5"/>
      <c r="M4" s="82"/>
      <c r="N4" s="5"/>
    </row>
    <row r="5" spans="1:14" x14ac:dyDescent="0.25">
      <c r="C5" s="176"/>
      <c r="D5" s="5" t="s">
        <v>42</v>
      </c>
      <c r="E5" s="5">
        <v>30</v>
      </c>
      <c r="F5" s="5">
        <v>700</v>
      </c>
      <c r="G5" s="82">
        <v>21000</v>
      </c>
      <c r="H5" s="82">
        <v>21000</v>
      </c>
      <c r="I5" s="26">
        <v>0</v>
      </c>
      <c r="J5" s="19"/>
      <c r="K5" s="5" t="str">
        <f t="shared" si="0"/>
        <v/>
      </c>
      <c r="L5" s="5"/>
      <c r="M5" s="82"/>
      <c r="N5" s="5"/>
    </row>
    <row r="6" spans="1:14" x14ac:dyDescent="0.25">
      <c r="C6" s="176"/>
      <c r="D6" s="5" t="s">
        <v>53</v>
      </c>
      <c r="E6" s="5">
        <v>60</v>
      </c>
      <c r="F6" s="5">
        <v>230</v>
      </c>
      <c r="G6" s="82">
        <v>13800</v>
      </c>
      <c r="H6" s="82">
        <v>13800</v>
      </c>
      <c r="I6" s="26">
        <f t="shared" ref="I6:I13" si="1">IF(AND(G6="", H6=""), "", G4-H4)</f>
        <v>0</v>
      </c>
      <c r="J6" s="19"/>
      <c r="K6" s="5" t="str">
        <f t="shared" si="0"/>
        <v/>
      </c>
      <c r="L6" s="5"/>
      <c r="M6" s="82"/>
      <c r="N6" s="5"/>
    </row>
    <row r="7" spans="1:14" x14ac:dyDescent="0.25">
      <c r="C7" s="176"/>
      <c r="D7" s="5" t="s">
        <v>55</v>
      </c>
      <c r="E7" s="5">
        <v>50</v>
      </c>
      <c r="F7" s="5">
        <v>60</v>
      </c>
      <c r="G7" s="82">
        <v>3000</v>
      </c>
      <c r="H7" s="82">
        <v>3000</v>
      </c>
      <c r="I7" s="26">
        <f t="shared" si="1"/>
        <v>0</v>
      </c>
      <c r="J7" s="19"/>
      <c r="K7" s="5" t="str">
        <f t="shared" si="0"/>
        <v/>
      </c>
      <c r="L7" s="52">
        <v>46331</v>
      </c>
      <c r="M7" s="82">
        <v>10000</v>
      </c>
      <c r="N7" s="5" t="s">
        <v>154</v>
      </c>
    </row>
    <row r="8" spans="1:14" x14ac:dyDescent="0.25">
      <c r="C8" s="176"/>
      <c r="D8" s="5" t="s">
        <v>57</v>
      </c>
      <c r="E8" s="5">
        <v>30</v>
      </c>
      <c r="F8" s="5">
        <v>60</v>
      </c>
      <c r="G8" s="82">
        <v>1800</v>
      </c>
      <c r="H8" s="82">
        <v>1800</v>
      </c>
      <c r="I8" s="26">
        <f t="shared" si="1"/>
        <v>0</v>
      </c>
      <c r="J8" s="19"/>
      <c r="K8" s="5" t="str">
        <f t="shared" si="0"/>
        <v/>
      </c>
      <c r="L8" s="5" t="s">
        <v>158</v>
      </c>
      <c r="M8" s="82">
        <v>10000</v>
      </c>
      <c r="N8" s="5"/>
    </row>
    <row r="9" spans="1:14" x14ac:dyDescent="0.25">
      <c r="C9" s="176"/>
      <c r="D9" s="5" t="s">
        <v>82</v>
      </c>
      <c r="E9" s="5">
        <v>80</v>
      </c>
      <c r="F9" s="5">
        <v>60</v>
      </c>
      <c r="G9" s="82">
        <v>4800</v>
      </c>
      <c r="H9" s="82">
        <v>4800</v>
      </c>
      <c r="I9" s="26">
        <f t="shared" si="1"/>
        <v>0</v>
      </c>
      <c r="J9" s="19"/>
      <c r="K9" s="5" t="str">
        <f t="shared" si="0"/>
        <v/>
      </c>
      <c r="L9" s="5"/>
      <c r="M9" s="82"/>
      <c r="N9" s="5"/>
    </row>
    <row r="10" spans="1:14" x14ac:dyDescent="0.25">
      <c r="C10" s="176"/>
      <c r="D10" s="5" t="s">
        <v>83</v>
      </c>
      <c r="E10" s="5">
        <v>30</v>
      </c>
      <c r="F10" s="5">
        <v>700</v>
      </c>
      <c r="G10" s="82">
        <v>21000</v>
      </c>
      <c r="H10" s="82">
        <v>21000</v>
      </c>
      <c r="I10" s="26">
        <f t="shared" si="1"/>
        <v>0</v>
      </c>
      <c r="J10" s="19"/>
      <c r="K10" s="5" t="str">
        <f t="shared" si="0"/>
        <v/>
      </c>
      <c r="L10" s="5" t="s">
        <v>151</v>
      </c>
      <c r="M10" s="82">
        <v>10000</v>
      </c>
      <c r="N10" s="5"/>
    </row>
    <row r="11" spans="1:14" x14ac:dyDescent="0.25">
      <c r="C11" s="176"/>
      <c r="D11" s="5" t="s">
        <v>84</v>
      </c>
      <c r="E11" s="5">
        <v>30</v>
      </c>
      <c r="F11" s="5">
        <v>700</v>
      </c>
      <c r="G11" s="82">
        <v>21000</v>
      </c>
      <c r="H11" s="82">
        <v>21000</v>
      </c>
      <c r="I11" s="27">
        <f t="shared" si="1"/>
        <v>0</v>
      </c>
      <c r="J11" s="19"/>
      <c r="K11" s="5" t="str">
        <f t="shared" si="0"/>
        <v/>
      </c>
      <c r="L11" s="5"/>
      <c r="M11" s="82"/>
      <c r="N11" s="5"/>
    </row>
    <row r="12" spans="1:14" x14ac:dyDescent="0.25">
      <c r="C12" s="176"/>
      <c r="D12" s="5" t="s">
        <v>85</v>
      </c>
      <c r="E12" s="5">
        <v>60</v>
      </c>
      <c r="F12" s="5">
        <v>230</v>
      </c>
      <c r="G12" s="82">
        <v>13800</v>
      </c>
      <c r="H12" s="124">
        <v>13800</v>
      </c>
      <c r="I12" s="26">
        <f t="shared" si="1"/>
        <v>0</v>
      </c>
      <c r="J12" s="19"/>
      <c r="K12" s="5" t="str">
        <f t="shared" si="0"/>
        <v/>
      </c>
      <c r="L12" s="5"/>
      <c r="M12" s="82"/>
      <c r="N12" s="5"/>
    </row>
    <row r="13" spans="1:14" x14ac:dyDescent="0.25">
      <c r="F13" s="29" t="s">
        <v>73</v>
      </c>
      <c r="G13" s="74">
        <f>SUM(G4:G12)-SUM(J4:J12)</f>
        <v>121200</v>
      </c>
      <c r="H13" s="74">
        <f>SUM(H4:H12)</f>
        <v>121200</v>
      </c>
      <c r="I13" s="30">
        <f t="shared" si="1"/>
        <v>0</v>
      </c>
      <c r="J13">
        <f>SUM(J4:J12)</f>
        <v>0</v>
      </c>
      <c r="K13">
        <f>G13</f>
        <v>121200</v>
      </c>
      <c r="L13" s="46" t="s">
        <v>73</v>
      </c>
      <c r="M13" s="75">
        <f>SUM(M4:M12)</f>
        <v>30000</v>
      </c>
    </row>
  </sheetData>
  <mergeCells count="1">
    <mergeCell ref="C4:C12"/>
  </mergeCells>
  <pageMargins left="0.7" right="0.7" top="0.75" bottom="0.75" header="0.511811023622047" footer="0.511811023622047"/>
  <pageSetup paperSize="9" orientation="portrait" horizontalDpi="300" verticalDpi="300"/>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5:N21"/>
  <sheetViews>
    <sheetView zoomScale="73" zoomScaleNormal="73" workbookViewId="0">
      <selection activeCell="B5" sqref="A5:B5"/>
    </sheetView>
  </sheetViews>
  <sheetFormatPr defaultColWidth="8.7109375" defaultRowHeight="15" x14ac:dyDescent="0.25"/>
  <cols>
    <col min="3" max="3" width="19.5703125" customWidth="1"/>
    <col min="4" max="4" width="39.140625" customWidth="1"/>
    <col min="7" max="7" width="10.28515625" customWidth="1"/>
    <col min="8" max="8" width="23" customWidth="1"/>
    <col min="9" max="9" width="14.140625" customWidth="1"/>
    <col min="10" max="10" width="12" customWidth="1"/>
    <col min="11" max="11" width="22" customWidth="1"/>
    <col min="12" max="12" width="14.140625" customWidth="1"/>
    <col min="13" max="13" width="18.7109375" bestFit="1" customWidth="1"/>
    <col min="14" max="14" width="45.140625" bestFit="1" customWidth="1"/>
  </cols>
  <sheetData>
    <row r="5" spans="1:14" ht="27.75" customHeight="1" x14ac:dyDescent="0.25">
      <c r="A5" s="14" t="s">
        <v>61</v>
      </c>
      <c r="B5" s="14" t="s">
        <v>110</v>
      </c>
      <c r="C5" s="25" t="s">
        <v>63</v>
      </c>
      <c r="D5" s="25" t="s">
        <v>31</v>
      </c>
      <c r="E5" s="25" t="s">
        <v>64</v>
      </c>
      <c r="F5" s="25" t="s">
        <v>65</v>
      </c>
      <c r="G5" s="25" t="s">
        <v>66</v>
      </c>
      <c r="H5" s="25" t="s">
        <v>3</v>
      </c>
      <c r="I5" s="17" t="s">
        <v>67</v>
      </c>
      <c r="J5" s="25" t="s">
        <v>68</v>
      </c>
      <c r="K5" s="25" t="s">
        <v>69</v>
      </c>
      <c r="L5" s="14" t="s">
        <v>138</v>
      </c>
      <c r="M5" s="14" t="s">
        <v>143</v>
      </c>
      <c r="N5" s="14" t="s">
        <v>139</v>
      </c>
    </row>
    <row r="6" spans="1:14" x14ac:dyDescent="0.25">
      <c r="A6" s="31" t="s">
        <v>7</v>
      </c>
      <c r="B6" s="16" t="s">
        <v>62</v>
      </c>
      <c r="C6" s="176" t="s">
        <v>86</v>
      </c>
      <c r="D6" s="5" t="s">
        <v>84</v>
      </c>
      <c r="E6" s="80">
        <v>30</v>
      </c>
      <c r="F6" s="80">
        <v>690</v>
      </c>
      <c r="G6" s="80">
        <v>20700</v>
      </c>
      <c r="H6" s="80">
        <v>20700</v>
      </c>
      <c r="I6" s="5">
        <v>0</v>
      </c>
      <c r="J6" s="19"/>
      <c r="K6" s="5" t="str">
        <f>IF(J6&gt;0,G6-J6,"")</f>
        <v/>
      </c>
      <c r="L6" s="178" t="s">
        <v>93</v>
      </c>
      <c r="M6" s="181">
        <v>30987</v>
      </c>
      <c r="N6" s="172"/>
    </row>
    <row r="7" spans="1:14" x14ac:dyDescent="0.25">
      <c r="C7" s="176"/>
      <c r="D7" s="5" t="s">
        <v>85</v>
      </c>
      <c r="E7" s="80">
        <v>30</v>
      </c>
      <c r="F7" s="80">
        <v>240</v>
      </c>
      <c r="G7" s="80">
        <v>7200</v>
      </c>
      <c r="H7" s="80">
        <v>7200</v>
      </c>
      <c r="I7" s="5">
        <v>0</v>
      </c>
      <c r="J7" s="19"/>
      <c r="K7" s="5" t="str">
        <f>IF(J7&gt;0,G7-J7,"")</f>
        <v/>
      </c>
      <c r="L7" s="179"/>
      <c r="M7" s="182"/>
      <c r="N7" s="184"/>
    </row>
    <row r="8" spans="1:14" x14ac:dyDescent="0.25">
      <c r="C8" s="176"/>
      <c r="D8" s="5" t="s">
        <v>55</v>
      </c>
      <c r="E8" s="80">
        <v>50</v>
      </c>
      <c r="F8" s="80">
        <v>61.74</v>
      </c>
      <c r="G8" s="80">
        <v>3087</v>
      </c>
      <c r="H8" s="80">
        <v>3087</v>
      </c>
      <c r="I8" s="5">
        <v>0</v>
      </c>
      <c r="J8" s="19"/>
      <c r="K8" s="5" t="str">
        <f>IF(J8&gt;0,G8-J8,"")</f>
        <v/>
      </c>
      <c r="L8" s="169"/>
      <c r="M8" s="183"/>
      <c r="N8" s="173"/>
    </row>
    <row r="9" spans="1:14" x14ac:dyDescent="0.25">
      <c r="E9" s="71"/>
      <c r="F9" s="106" t="s">
        <v>73</v>
      </c>
      <c r="G9" s="71">
        <f>SUM(G6:G8)-SUM(J6:J8)</f>
        <v>30987</v>
      </c>
      <c r="H9" s="71">
        <f>SUM(H6:H8)</f>
        <v>30987</v>
      </c>
      <c r="I9">
        <f>SUM(I6:I8)</f>
        <v>0</v>
      </c>
      <c r="J9">
        <f>SUM(J6:J8)</f>
        <v>0</v>
      </c>
      <c r="K9">
        <f>G9</f>
        <v>30987</v>
      </c>
    </row>
    <row r="10" spans="1:14" x14ac:dyDescent="0.25">
      <c r="E10" s="71"/>
      <c r="F10" s="106"/>
      <c r="G10" s="106" t="s">
        <v>87</v>
      </c>
      <c r="H10" s="71" t="s">
        <v>88</v>
      </c>
      <c r="J10" s="32"/>
      <c r="K10" s="29" t="str">
        <f>IF(J10&gt;0,G10-J10,"")</f>
        <v/>
      </c>
    </row>
    <row r="11" spans="1:14" x14ac:dyDescent="0.25">
      <c r="C11" s="16" t="s">
        <v>77</v>
      </c>
      <c r="E11" s="71"/>
      <c r="F11" s="71"/>
      <c r="G11" s="71"/>
      <c r="H11" s="71"/>
    </row>
    <row r="12" spans="1:14" ht="30" x14ac:dyDescent="0.25">
      <c r="B12" s="14" t="s">
        <v>110</v>
      </c>
      <c r="C12" s="25" t="s">
        <v>63</v>
      </c>
      <c r="D12" s="25" t="s">
        <v>31</v>
      </c>
      <c r="E12" s="25" t="s">
        <v>64</v>
      </c>
      <c r="F12" s="25" t="s">
        <v>65</v>
      </c>
      <c r="G12" s="25" t="s">
        <v>66</v>
      </c>
      <c r="H12" s="25" t="s">
        <v>3</v>
      </c>
      <c r="I12" s="17" t="s">
        <v>67</v>
      </c>
      <c r="J12" s="25" t="s">
        <v>68</v>
      </c>
      <c r="K12" s="25" t="s">
        <v>69</v>
      </c>
      <c r="L12" s="14" t="s">
        <v>138</v>
      </c>
      <c r="M12" s="14" t="s">
        <v>143</v>
      </c>
      <c r="N12" s="14" t="s">
        <v>139</v>
      </c>
    </row>
    <row r="13" spans="1:14" x14ac:dyDescent="0.25">
      <c r="C13" s="175">
        <v>46301</v>
      </c>
      <c r="D13" s="5" t="s">
        <v>40</v>
      </c>
      <c r="E13" s="80">
        <v>30</v>
      </c>
      <c r="F13" s="80">
        <v>700</v>
      </c>
      <c r="G13" s="80">
        <v>21000</v>
      </c>
      <c r="H13" s="80">
        <v>21000</v>
      </c>
      <c r="I13" s="5">
        <v>0</v>
      </c>
      <c r="J13" s="19"/>
      <c r="K13" s="5" t="str">
        <f>IF(J13&gt;0,G13-J13,"")</f>
        <v/>
      </c>
      <c r="L13" s="168">
        <v>46363</v>
      </c>
      <c r="M13" s="185">
        <v>27050</v>
      </c>
      <c r="N13" s="178" t="s">
        <v>162</v>
      </c>
    </row>
    <row r="14" spans="1:14" x14ac:dyDescent="0.25">
      <c r="C14" s="175"/>
      <c r="D14" s="5" t="s">
        <v>53</v>
      </c>
      <c r="E14" s="80">
        <v>30</v>
      </c>
      <c r="F14" s="80">
        <v>235</v>
      </c>
      <c r="G14" s="80">
        <v>7050</v>
      </c>
      <c r="H14" s="80">
        <v>7050</v>
      </c>
      <c r="I14" s="5">
        <v>0</v>
      </c>
      <c r="J14" s="19"/>
      <c r="K14" s="5" t="str">
        <f>IF(J14&gt;0,G14-J14,"")</f>
        <v/>
      </c>
      <c r="L14" s="169"/>
      <c r="M14" s="186"/>
      <c r="N14" s="169"/>
    </row>
    <row r="15" spans="1:14" x14ac:dyDescent="0.25">
      <c r="E15" s="71"/>
      <c r="F15" s="106" t="s">
        <v>73</v>
      </c>
      <c r="G15" s="71">
        <f>SUM(G13:G14)-SUM(J13:J14)</f>
        <v>28050</v>
      </c>
      <c r="H15" s="71">
        <f>SUM(H13:H14)</f>
        <v>28050</v>
      </c>
      <c r="I15">
        <v>0</v>
      </c>
      <c r="J15">
        <f>SUM(J10:J14)</f>
        <v>0</v>
      </c>
    </row>
    <row r="16" spans="1:14" x14ac:dyDescent="0.25">
      <c r="E16" s="71"/>
      <c r="F16" s="71"/>
      <c r="G16" s="71"/>
      <c r="H16" s="71"/>
    </row>
    <row r="17" spans="2:14" x14ac:dyDescent="0.25">
      <c r="C17" s="16" t="s">
        <v>137</v>
      </c>
      <c r="E17" s="71"/>
      <c r="F17" s="71"/>
      <c r="G17" s="71"/>
      <c r="H17" s="71"/>
    </row>
    <row r="18" spans="2:14" ht="30" x14ac:dyDescent="0.25">
      <c r="B18" s="14" t="s">
        <v>110</v>
      </c>
      <c r="C18" s="25" t="s">
        <v>63</v>
      </c>
      <c r="D18" s="25" t="s">
        <v>31</v>
      </c>
      <c r="E18" s="25" t="s">
        <v>64</v>
      </c>
      <c r="F18" s="25" t="s">
        <v>65</v>
      </c>
      <c r="G18" s="25" t="s">
        <v>66</v>
      </c>
      <c r="H18" s="25" t="s">
        <v>3</v>
      </c>
      <c r="I18" s="17" t="s">
        <v>67</v>
      </c>
      <c r="J18" s="25" t="s">
        <v>68</v>
      </c>
      <c r="K18" s="25" t="s">
        <v>69</v>
      </c>
      <c r="L18" s="14" t="s">
        <v>138</v>
      </c>
      <c r="M18" s="14" t="s">
        <v>143</v>
      </c>
      <c r="N18" s="14" t="s">
        <v>139</v>
      </c>
    </row>
    <row r="19" spans="2:14" x14ac:dyDescent="0.25">
      <c r="C19" s="175">
        <v>46030</v>
      </c>
      <c r="D19" s="5" t="s">
        <v>42</v>
      </c>
      <c r="E19" s="80">
        <v>30</v>
      </c>
      <c r="F19" s="80">
        <v>700</v>
      </c>
      <c r="G19" s="80">
        <v>21000</v>
      </c>
      <c r="H19" s="80">
        <v>0</v>
      </c>
      <c r="I19" s="5">
        <f>IF(AND(G19="",H19=""),"", G19-H19)</f>
        <v>21000</v>
      </c>
      <c r="J19" s="5">
        <v>0</v>
      </c>
      <c r="K19" s="5"/>
      <c r="L19" s="5"/>
      <c r="M19" s="5"/>
      <c r="N19" s="5"/>
    </row>
    <row r="20" spans="2:14" x14ac:dyDescent="0.25">
      <c r="C20" s="175"/>
      <c r="D20" s="5" t="s">
        <v>53</v>
      </c>
      <c r="E20" s="80">
        <v>30</v>
      </c>
      <c r="F20" s="80">
        <v>230</v>
      </c>
      <c r="G20" s="80">
        <v>6900</v>
      </c>
      <c r="H20" s="80">
        <v>0</v>
      </c>
      <c r="I20" s="5">
        <f>IF(AND(G20="",H20=""),"", G20-H20)</f>
        <v>6900</v>
      </c>
      <c r="J20" s="5">
        <v>0</v>
      </c>
      <c r="K20" s="5"/>
      <c r="L20" s="5"/>
      <c r="M20" s="5"/>
      <c r="N20" s="5"/>
    </row>
    <row r="21" spans="2:14" x14ac:dyDescent="0.25">
      <c r="F21" t="s">
        <v>73</v>
      </c>
      <c r="G21">
        <f>SUM(G19:G20)-SUM(J19:J20)</f>
        <v>27900</v>
      </c>
      <c r="I21">
        <f>SUM(I19:I20)</f>
        <v>27900</v>
      </c>
      <c r="K21">
        <f>G21</f>
        <v>27900</v>
      </c>
    </row>
  </sheetData>
  <mergeCells count="9">
    <mergeCell ref="C19:C20"/>
    <mergeCell ref="L6:L8"/>
    <mergeCell ref="M6:M8"/>
    <mergeCell ref="N6:N8"/>
    <mergeCell ref="L13:L14"/>
    <mergeCell ref="M13:M14"/>
    <mergeCell ref="N13:N14"/>
    <mergeCell ref="C6:C8"/>
    <mergeCell ref="C13:C14"/>
  </mergeCells>
  <pageMargins left="0.7" right="0.7" top="0.75" bottom="0.75"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6:O9"/>
  <sheetViews>
    <sheetView zoomScale="70" zoomScaleNormal="70" workbookViewId="0">
      <selection activeCell="B6" sqref="B6:C6"/>
    </sheetView>
  </sheetViews>
  <sheetFormatPr defaultColWidth="8.7109375" defaultRowHeight="15" x14ac:dyDescent="0.25"/>
  <cols>
    <col min="4" max="4" width="12.140625" customWidth="1"/>
    <col min="5" max="5" width="23.5703125" customWidth="1"/>
    <col min="6" max="6" width="20.140625" customWidth="1"/>
    <col min="7" max="7" width="22.85546875" customWidth="1"/>
    <col min="8" max="8" width="17.7109375" customWidth="1"/>
    <col min="9" max="9" width="14.28515625" customWidth="1"/>
    <col min="10" max="10" width="18.42578125" customWidth="1"/>
    <col min="11" max="11" width="12" customWidth="1"/>
    <col min="12" max="12" width="22" customWidth="1"/>
    <col min="13" max="13" width="12.7109375" customWidth="1"/>
    <col min="14" max="14" width="14.42578125" customWidth="1"/>
    <col min="15" max="15" width="26.5703125" customWidth="1"/>
  </cols>
  <sheetData>
    <row r="6" spans="2:15" ht="30" customHeight="1" x14ac:dyDescent="0.25">
      <c r="B6" s="14" t="s">
        <v>61</v>
      </c>
      <c r="C6" s="14" t="s">
        <v>110</v>
      </c>
      <c r="D6" s="25" t="s">
        <v>63</v>
      </c>
      <c r="E6" s="25" t="s">
        <v>31</v>
      </c>
      <c r="F6" s="25" t="s">
        <v>64</v>
      </c>
      <c r="G6" s="25" t="s">
        <v>65</v>
      </c>
      <c r="H6" s="25" t="s">
        <v>66</v>
      </c>
      <c r="I6" s="25" t="s">
        <v>3</v>
      </c>
      <c r="J6" s="17" t="s">
        <v>67</v>
      </c>
      <c r="K6" s="25" t="s">
        <v>68</v>
      </c>
      <c r="L6" s="25" t="s">
        <v>69</v>
      </c>
      <c r="M6" s="14" t="s">
        <v>138</v>
      </c>
      <c r="N6" s="14" t="s">
        <v>143</v>
      </c>
      <c r="O6" s="14" t="s">
        <v>139</v>
      </c>
    </row>
    <row r="7" spans="2:15" ht="15.75" x14ac:dyDescent="0.25">
      <c r="B7" s="33" t="s">
        <v>8</v>
      </c>
      <c r="C7" s="16" t="s">
        <v>62</v>
      </c>
      <c r="D7" s="176" t="s">
        <v>89</v>
      </c>
      <c r="E7" s="5" t="s">
        <v>50</v>
      </c>
      <c r="F7" s="5">
        <v>30</v>
      </c>
      <c r="G7" s="34">
        <v>690</v>
      </c>
      <c r="H7" s="34">
        <v>20700</v>
      </c>
      <c r="I7" s="34">
        <v>20700</v>
      </c>
      <c r="J7" s="34">
        <v>0</v>
      </c>
      <c r="K7" s="35"/>
      <c r="L7" s="34" t="str">
        <f>IF(K7&gt;0,H7-K7,"")</f>
        <v/>
      </c>
      <c r="M7" s="5"/>
      <c r="N7" s="5"/>
      <c r="O7" s="5"/>
    </row>
    <row r="8" spans="2:15" x14ac:dyDescent="0.25">
      <c r="D8" s="176"/>
      <c r="E8" s="5" t="s">
        <v>53</v>
      </c>
      <c r="F8" s="28">
        <v>30</v>
      </c>
      <c r="G8" s="5">
        <v>230</v>
      </c>
      <c r="H8" s="6">
        <v>6900</v>
      </c>
      <c r="I8" s="5">
        <v>6900</v>
      </c>
      <c r="J8" s="5">
        <v>0</v>
      </c>
      <c r="K8" s="36"/>
      <c r="L8" s="6" t="str">
        <f>IF(K8&gt;0,H8-K8,"")</f>
        <v/>
      </c>
      <c r="M8" s="5"/>
      <c r="N8" s="5"/>
      <c r="O8" s="5"/>
    </row>
    <row r="9" spans="2:15" x14ac:dyDescent="0.25">
      <c r="G9" s="21" t="s">
        <v>73</v>
      </c>
      <c r="H9">
        <f>SUM(H7:H8)-SUM(K7:K8)</f>
        <v>27600</v>
      </c>
      <c r="I9">
        <f>SUM(I7:I8)</f>
        <v>27600</v>
      </c>
      <c r="J9">
        <v>0</v>
      </c>
      <c r="K9">
        <f>SUM(K7:K8)</f>
        <v>0</v>
      </c>
      <c r="L9">
        <f>H9</f>
        <v>27600</v>
      </c>
    </row>
  </sheetData>
  <mergeCells count="1">
    <mergeCell ref="D7:D8"/>
  </mergeCells>
  <pageMargins left="0.7" right="0.7" top="0.75" bottom="0.75" header="0.511811023622047" footer="0.511811023622047"/>
  <pageSetup paperSize="9" orientation="portrait" horizontalDpi="300" verticalDpi="300"/>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4:O8"/>
  <sheetViews>
    <sheetView zoomScale="85" zoomScaleNormal="85" workbookViewId="0">
      <selection activeCell="C4" sqref="B4:C4"/>
    </sheetView>
  </sheetViews>
  <sheetFormatPr defaultColWidth="8.7109375" defaultRowHeight="15" x14ac:dyDescent="0.25"/>
  <cols>
    <col min="4" max="4" width="19" customWidth="1"/>
    <col min="5" max="5" width="34.42578125" customWidth="1"/>
    <col min="6" max="6" width="10.42578125" customWidth="1"/>
    <col min="7" max="7" width="16.85546875" customWidth="1"/>
    <col min="8" max="8" width="13.7109375" style="74" customWidth="1"/>
    <col min="9" max="9" width="14.28515625" style="74" customWidth="1"/>
    <col min="10" max="10" width="10.5703125" customWidth="1"/>
    <col min="11" max="11" width="12" customWidth="1"/>
    <col min="12" max="12" width="14.28515625" customWidth="1"/>
    <col min="13" max="13" width="14.140625" customWidth="1"/>
    <col min="14" max="14" width="17.28515625" customWidth="1"/>
    <col min="15" max="15" width="15.5703125" customWidth="1"/>
  </cols>
  <sheetData>
    <row r="4" spans="2:15" ht="30" x14ac:dyDescent="0.25">
      <c r="B4" s="14" t="s">
        <v>61</v>
      </c>
      <c r="C4" s="14" t="s">
        <v>110</v>
      </c>
      <c r="D4" s="25" t="s">
        <v>63</v>
      </c>
      <c r="E4" s="25" t="s">
        <v>31</v>
      </c>
      <c r="F4" s="25" t="s">
        <v>64</v>
      </c>
      <c r="G4" s="25" t="s">
        <v>65</v>
      </c>
      <c r="H4" s="123" t="s">
        <v>66</v>
      </c>
      <c r="I4" s="123" t="s">
        <v>3</v>
      </c>
      <c r="J4" s="17" t="s">
        <v>67</v>
      </c>
      <c r="K4" s="25" t="s">
        <v>68</v>
      </c>
      <c r="L4" s="25" t="s">
        <v>69</v>
      </c>
      <c r="M4" s="14" t="s">
        <v>138</v>
      </c>
      <c r="N4" s="14" t="s">
        <v>143</v>
      </c>
      <c r="O4" s="14" t="s">
        <v>139</v>
      </c>
    </row>
    <row r="5" spans="2:15" ht="18.75" x14ac:dyDescent="0.3">
      <c r="B5" s="37" t="s">
        <v>9</v>
      </c>
      <c r="C5" s="16" t="s">
        <v>62</v>
      </c>
      <c r="D5" s="176" t="s">
        <v>90</v>
      </c>
      <c r="E5" s="5" t="s">
        <v>36</v>
      </c>
      <c r="F5" s="5">
        <v>60</v>
      </c>
      <c r="G5" s="5">
        <v>700</v>
      </c>
      <c r="H5" s="82">
        <v>42000</v>
      </c>
      <c r="I5" s="82">
        <v>42000</v>
      </c>
      <c r="J5" s="5">
        <v>0</v>
      </c>
      <c r="K5" s="19"/>
      <c r="L5" s="5"/>
      <c r="M5" s="5" t="s">
        <v>75</v>
      </c>
      <c r="N5" s="82">
        <v>8800</v>
      </c>
      <c r="O5" s="5"/>
    </row>
    <row r="6" spans="2:15" x14ac:dyDescent="0.25">
      <c r="D6" s="176"/>
      <c r="E6" s="5" t="s">
        <v>44</v>
      </c>
      <c r="F6" s="5">
        <v>60</v>
      </c>
      <c r="G6" s="5">
        <v>700</v>
      </c>
      <c r="H6" s="82">
        <v>42000</v>
      </c>
      <c r="I6" s="82">
        <v>42000</v>
      </c>
      <c r="J6" s="5">
        <v>0</v>
      </c>
      <c r="K6" s="19"/>
      <c r="L6" s="5" t="str">
        <f>IF(K6&gt;0,H6-K6,"")</f>
        <v/>
      </c>
      <c r="M6" s="5"/>
      <c r="N6" s="5"/>
      <c r="O6" s="5"/>
    </row>
    <row r="7" spans="2:15" x14ac:dyDescent="0.25">
      <c r="D7" s="176"/>
      <c r="E7" s="5" t="s">
        <v>53</v>
      </c>
      <c r="F7" s="5">
        <v>60</v>
      </c>
      <c r="G7" s="5">
        <v>230</v>
      </c>
      <c r="H7" s="82">
        <v>13800</v>
      </c>
      <c r="I7" s="82">
        <v>13800</v>
      </c>
      <c r="J7" s="5">
        <v>0</v>
      </c>
      <c r="K7" s="19"/>
      <c r="L7" s="5" t="str">
        <f>IF(K7&gt;0,H7-K7,"")</f>
        <v/>
      </c>
      <c r="M7" s="5"/>
      <c r="N7" s="5"/>
      <c r="O7" s="5"/>
    </row>
    <row r="8" spans="2:15" x14ac:dyDescent="0.25">
      <c r="G8" s="21" t="s">
        <v>73</v>
      </c>
      <c r="H8" s="74">
        <f>SUM(H5:H7)-SUM(K5:K7)</f>
        <v>97800</v>
      </c>
      <c r="I8" s="74">
        <f>SUM(I5:I7)</f>
        <v>97800</v>
      </c>
      <c r="J8">
        <f>SUM(J5:J7)</f>
        <v>0</v>
      </c>
      <c r="K8">
        <f>SUM(K5:K7)</f>
        <v>0</v>
      </c>
      <c r="L8" s="74">
        <f>H8</f>
        <v>97800</v>
      </c>
    </row>
  </sheetData>
  <mergeCells count="1">
    <mergeCell ref="D5:D7"/>
  </mergeCells>
  <pageMargins left="0.7" right="0.7" top="0.75" bottom="0.75"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B3:O14"/>
  <sheetViews>
    <sheetView topLeftCell="B1" zoomScale="85" zoomScaleNormal="85" workbookViewId="0">
      <selection activeCell="C5" sqref="B5:C5"/>
    </sheetView>
  </sheetViews>
  <sheetFormatPr defaultColWidth="8.7109375" defaultRowHeight="15" x14ac:dyDescent="0.25"/>
  <cols>
    <col min="4" max="4" width="20" customWidth="1"/>
    <col min="5" max="5" width="20.85546875" customWidth="1"/>
    <col min="6" max="6" width="9.5703125" customWidth="1"/>
    <col min="7" max="7" width="15.7109375" customWidth="1"/>
    <col min="8" max="8" width="14.140625" style="74" customWidth="1"/>
    <col min="9" max="9" width="13.7109375" style="74" customWidth="1"/>
    <col min="10" max="10" width="11.7109375" customWidth="1"/>
    <col min="11" max="11" width="12" customWidth="1"/>
    <col min="12" max="12" width="14.42578125" customWidth="1"/>
    <col min="13" max="13" width="11.5703125" customWidth="1"/>
    <col min="14" max="14" width="17.5703125" customWidth="1"/>
    <col min="15" max="15" width="33.85546875" bestFit="1" customWidth="1"/>
  </cols>
  <sheetData>
    <row r="3" spans="2:15" ht="25.5" customHeight="1" x14ac:dyDescent="0.25">
      <c r="D3" s="38" t="s">
        <v>61</v>
      </c>
    </row>
    <row r="5" spans="2:15" ht="30" x14ac:dyDescent="0.25">
      <c r="B5" s="14" t="s">
        <v>61</v>
      </c>
      <c r="C5" s="14" t="s">
        <v>110</v>
      </c>
      <c r="D5" s="14" t="s">
        <v>63</v>
      </c>
      <c r="E5" s="14" t="s">
        <v>31</v>
      </c>
      <c r="F5" s="14" t="s">
        <v>64</v>
      </c>
      <c r="G5" s="14" t="s">
        <v>65</v>
      </c>
      <c r="H5" s="121" t="s">
        <v>66</v>
      </c>
      <c r="I5" s="121" t="s">
        <v>3</v>
      </c>
      <c r="J5" s="14" t="s">
        <v>67</v>
      </c>
      <c r="K5" s="14" t="s">
        <v>68</v>
      </c>
      <c r="L5" s="14" t="s">
        <v>69</v>
      </c>
      <c r="M5" s="14" t="s">
        <v>138</v>
      </c>
      <c r="N5" s="14" t="s">
        <v>143</v>
      </c>
      <c r="O5" s="14" t="s">
        <v>139</v>
      </c>
    </row>
    <row r="6" spans="2:15" ht="26.25" x14ac:dyDescent="0.25">
      <c r="B6" s="39" t="s">
        <v>10</v>
      </c>
      <c r="C6" s="16" t="s">
        <v>74</v>
      </c>
      <c r="D6" s="175">
        <v>46300</v>
      </c>
      <c r="E6" s="5" t="s">
        <v>44</v>
      </c>
      <c r="F6" s="80">
        <v>30</v>
      </c>
      <c r="G6" s="80">
        <v>680</v>
      </c>
      <c r="H6" s="100">
        <f>PRODUCT(F6:G6)</f>
        <v>20400</v>
      </c>
      <c r="I6" s="100">
        <v>20400</v>
      </c>
      <c r="J6" s="5">
        <f>IF(AND(H6="", I6=""), "", H6-I6)</f>
        <v>0</v>
      </c>
      <c r="K6" s="19"/>
      <c r="L6" s="5" t="str">
        <f>IF(K6&gt;0,H6-K6,"")</f>
        <v/>
      </c>
      <c r="M6" s="187">
        <v>46300</v>
      </c>
      <c r="N6" s="189">
        <v>27300</v>
      </c>
      <c r="O6" s="5"/>
    </row>
    <row r="7" spans="2:15" x14ac:dyDescent="0.25">
      <c r="D7" s="175"/>
      <c r="E7" s="5" t="s">
        <v>53</v>
      </c>
      <c r="F7" s="80">
        <v>30</v>
      </c>
      <c r="G7" s="80">
        <v>230</v>
      </c>
      <c r="H7" s="100">
        <f>PRODUCT(F7:G7)</f>
        <v>6900</v>
      </c>
      <c r="I7" s="100">
        <v>6900</v>
      </c>
      <c r="J7" s="5">
        <f>IF(AND(H7="", I7=""), "", H7-I7)</f>
        <v>0</v>
      </c>
      <c r="K7" s="19"/>
      <c r="L7" s="5"/>
      <c r="M7" s="188"/>
      <c r="N7" s="190"/>
      <c r="O7" s="5"/>
    </row>
    <row r="8" spans="2:15" x14ac:dyDescent="0.25">
      <c r="D8" s="40" t="s">
        <v>91</v>
      </c>
      <c r="E8" s="5" t="s">
        <v>36</v>
      </c>
      <c r="F8" s="80">
        <v>90</v>
      </c>
      <c r="G8" s="80">
        <v>680</v>
      </c>
      <c r="H8" s="100">
        <f>PRODUCT(F8:G8)</f>
        <v>61200</v>
      </c>
      <c r="I8" s="100">
        <v>61200</v>
      </c>
      <c r="J8" s="5">
        <v>0</v>
      </c>
      <c r="K8" s="19"/>
      <c r="L8" s="5" t="str">
        <f>IF(K8&gt;0,H8-K8,"")</f>
        <v/>
      </c>
      <c r="M8" s="5" t="s">
        <v>97</v>
      </c>
      <c r="N8" s="100">
        <v>66900</v>
      </c>
      <c r="O8" s="5"/>
    </row>
    <row r="9" spans="2:15" x14ac:dyDescent="0.25">
      <c r="D9" s="5"/>
      <c r="E9" s="5" t="s">
        <v>53</v>
      </c>
      <c r="F9" s="80">
        <v>90</v>
      </c>
      <c r="G9" s="80">
        <v>230</v>
      </c>
      <c r="H9" s="100">
        <f>PRODUCT(F9:G9)</f>
        <v>20700</v>
      </c>
      <c r="I9" s="100">
        <v>20700</v>
      </c>
      <c r="J9" s="5">
        <v>0</v>
      </c>
      <c r="K9" s="19"/>
      <c r="L9" s="5" t="str">
        <f>IF(K9&gt;0,H9-K9,"")</f>
        <v/>
      </c>
      <c r="M9" s="5" t="s">
        <v>91</v>
      </c>
      <c r="N9" s="100">
        <v>15000</v>
      </c>
      <c r="O9" s="5"/>
    </row>
    <row r="10" spans="2:15" x14ac:dyDescent="0.25">
      <c r="F10" s="71"/>
      <c r="G10" s="106" t="s">
        <v>73</v>
      </c>
      <c r="H10" s="127">
        <f>SUM(H6:H9)-SUM(K6:K9)</f>
        <v>109200</v>
      </c>
      <c r="I10" s="127">
        <f>SUM(I6:I9)</f>
        <v>109200</v>
      </c>
      <c r="J10">
        <v>0</v>
      </c>
      <c r="K10">
        <f>SUM(K6:K9)</f>
        <v>0</v>
      </c>
      <c r="L10">
        <f>H10</f>
        <v>109200</v>
      </c>
      <c r="M10" s="79" t="s">
        <v>73</v>
      </c>
      <c r="N10" s="75">
        <f>SUM(N6:N9)</f>
        <v>109200</v>
      </c>
    </row>
    <row r="11" spans="2:15" x14ac:dyDescent="0.25">
      <c r="F11" s="71"/>
      <c r="G11" s="71"/>
      <c r="H11" s="127"/>
      <c r="I11" s="127"/>
    </row>
    <row r="12" spans="2:15" ht="30" x14ac:dyDescent="0.25">
      <c r="C12" s="14" t="s">
        <v>110</v>
      </c>
      <c r="D12" s="14" t="s">
        <v>63</v>
      </c>
      <c r="E12" s="14" t="s">
        <v>31</v>
      </c>
      <c r="F12" s="14" t="s">
        <v>64</v>
      </c>
      <c r="G12" s="14" t="s">
        <v>65</v>
      </c>
      <c r="H12" s="121" t="s">
        <v>66</v>
      </c>
      <c r="I12" s="121" t="s">
        <v>3</v>
      </c>
      <c r="J12" s="14" t="s">
        <v>67</v>
      </c>
      <c r="K12" s="14" t="s">
        <v>68</v>
      </c>
      <c r="L12" s="14" t="s">
        <v>69</v>
      </c>
      <c r="M12" s="14" t="s">
        <v>138</v>
      </c>
      <c r="N12" s="14" t="s">
        <v>143</v>
      </c>
      <c r="O12" s="14" t="s">
        <v>139</v>
      </c>
    </row>
    <row r="13" spans="2:15" x14ac:dyDescent="0.25">
      <c r="C13" s="16" t="s">
        <v>92</v>
      </c>
      <c r="D13" s="40">
        <v>46210</v>
      </c>
      <c r="E13" s="5" t="s">
        <v>53</v>
      </c>
      <c r="F13" s="80">
        <v>120</v>
      </c>
      <c r="G13" s="143" t="s">
        <v>169</v>
      </c>
      <c r="H13" s="100">
        <v>24000</v>
      </c>
      <c r="I13" s="100">
        <v>24000</v>
      </c>
      <c r="J13" s="5">
        <v>0</v>
      </c>
      <c r="K13" s="19"/>
      <c r="L13" s="5" t="str">
        <f>IF(K13&gt;0,H13-K13,"")</f>
        <v/>
      </c>
      <c r="M13" s="116">
        <v>46210</v>
      </c>
      <c r="N13" s="82">
        <v>24000</v>
      </c>
      <c r="O13" s="5" t="s">
        <v>168</v>
      </c>
    </row>
    <row r="14" spans="2:15" x14ac:dyDescent="0.25">
      <c r="G14" s="21" t="s">
        <v>73</v>
      </c>
      <c r="H14" s="74">
        <f>SUM(H13)-SUM(K13)</f>
        <v>24000</v>
      </c>
      <c r="I14" s="74">
        <f>I13</f>
        <v>24000</v>
      </c>
      <c r="J14">
        <f>J13</f>
        <v>0</v>
      </c>
      <c r="K14">
        <f>SUM(K11:K13)</f>
        <v>0</v>
      </c>
      <c r="L14" s="74">
        <f>H14</f>
        <v>24000</v>
      </c>
      <c r="M14" s="46" t="s">
        <v>73</v>
      </c>
      <c r="N14" s="75">
        <f>SUM(N13)</f>
        <v>24000</v>
      </c>
    </row>
  </sheetData>
  <mergeCells count="3">
    <mergeCell ref="D6:D7"/>
    <mergeCell ref="M6:M7"/>
    <mergeCell ref="N6:N7"/>
  </mergeCells>
  <pageMargins left="0.7" right="0.7" top="0.75" bottom="0.75" header="0.511811023622047" footer="0.511811023622047"/>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5:N17"/>
  <sheetViews>
    <sheetView tabSelected="1" topLeftCell="A4" zoomScale="85" zoomScaleNormal="85" workbookViewId="0">
      <selection activeCell="A5" sqref="A5:B5"/>
    </sheetView>
  </sheetViews>
  <sheetFormatPr defaultColWidth="8.7109375" defaultRowHeight="15" x14ac:dyDescent="0.25"/>
  <cols>
    <col min="3" max="3" width="13.28515625" customWidth="1"/>
    <col min="4" max="4" width="24" customWidth="1"/>
    <col min="5" max="5" width="17.85546875" customWidth="1"/>
    <col min="6" max="6" width="23.28515625" customWidth="1"/>
    <col min="7" max="7" width="17.5703125" style="74" customWidth="1"/>
    <col min="8" max="8" width="17.85546875" style="74" customWidth="1"/>
    <col min="9" max="9" width="16.5703125" customWidth="1"/>
    <col min="10" max="10" width="12" customWidth="1"/>
    <col min="11" max="11" width="22" customWidth="1"/>
    <col min="12" max="12" width="12.140625" customWidth="1"/>
    <col min="13" max="13" width="10.85546875" customWidth="1"/>
    <col min="14" max="14" width="14.140625" customWidth="1"/>
  </cols>
  <sheetData>
    <row r="5" spans="1:14" ht="30" customHeight="1" x14ac:dyDescent="0.25">
      <c r="A5" s="14" t="s">
        <v>61</v>
      </c>
      <c r="B5" s="14" t="s">
        <v>110</v>
      </c>
      <c r="C5" s="25" t="s">
        <v>63</v>
      </c>
      <c r="D5" s="25" t="s">
        <v>31</v>
      </c>
      <c r="E5" s="25" t="s">
        <v>64</v>
      </c>
      <c r="F5" s="25" t="s">
        <v>65</v>
      </c>
      <c r="G5" s="123" t="s">
        <v>66</v>
      </c>
      <c r="H5" s="123" t="s">
        <v>3</v>
      </c>
      <c r="I5" s="17" t="s">
        <v>67</v>
      </c>
      <c r="J5" s="25" t="s">
        <v>68</v>
      </c>
      <c r="K5" s="25" t="s">
        <v>69</v>
      </c>
      <c r="L5" s="14" t="s">
        <v>138</v>
      </c>
      <c r="M5" s="14" t="s">
        <v>143</v>
      </c>
      <c r="N5" s="14" t="s">
        <v>139</v>
      </c>
    </row>
    <row r="6" spans="1:14" ht="15.75" x14ac:dyDescent="0.25">
      <c r="A6" s="33" t="s">
        <v>12</v>
      </c>
      <c r="B6" s="16" t="s">
        <v>74</v>
      </c>
      <c r="C6" s="175">
        <v>46300</v>
      </c>
      <c r="D6" s="5" t="s">
        <v>46</v>
      </c>
      <c r="E6" s="5">
        <v>30</v>
      </c>
      <c r="F6" s="5">
        <v>680</v>
      </c>
      <c r="G6" s="82">
        <v>20400</v>
      </c>
      <c r="H6" s="82">
        <v>20400</v>
      </c>
      <c r="I6" s="5">
        <v>0</v>
      </c>
      <c r="J6" s="19"/>
      <c r="K6" s="5" t="str">
        <f>IF(J6&gt;0,G6-J6,"")</f>
        <v/>
      </c>
      <c r="L6" s="168">
        <v>46300</v>
      </c>
      <c r="M6" s="170">
        <v>20750</v>
      </c>
      <c r="N6" s="5"/>
    </row>
    <row r="7" spans="1:14" x14ac:dyDescent="0.25">
      <c r="C7" s="175"/>
      <c r="D7" s="5" t="s">
        <v>53</v>
      </c>
      <c r="E7" s="5">
        <v>30</v>
      </c>
      <c r="F7" s="5">
        <v>220</v>
      </c>
      <c r="G7" s="82">
        <v>6600</v>
      </c>
      <c r="H7" s="82">
        <v>6600</v>
      </c>
      <c r="I7" s="5">
        <v>0</v>
      </c>
      <c r="J7" s="19"/>
      <c r="K7" s="5" t="str">
        <f>IF(J7&gt;0,G7-J7,"")</f>
        <v/>
      </c>
      <c r="L7" s="191"/>
      <c r="M7" s="180"/>
      <c r="N7" s="5"/>
    </row>
    <row r="8" spans="1:14" x14ac:dyDescent="0.25">
      <c r="C8" s="175"/>
      <c r="D8" s="5" t="s">
        <v>55</v>
      </c>
      <c r="E8" s="5">
        <v>50</v>
      </c>
      <c r="F8" s="5">
        <v>55</v>
      </c>
      <c r="G8" s="82">
        <v>2750</v>
      </c>
      <c r="H8" s="82">
        <v>2750</v>
      </c>
      <c r="I8" s="5">
        <v>0</v>
      </c>
      <c r="J8" s="19"/>
      <c r="K8" s="5" t="str">
        <f>IF(J8&gt;0,G8-J8,"")</f>
        <v/>
      </c>
      <c r="L8" s="177"/>
      <c r="M8" s="171"/>
      <c r="N8" s="5"/>
    </row>
    <row r="9" spans="1:14" x14ac:dyDescent="0.25">
      <c r="F9" s="21" t="s">
        <v>73</v>
      </c>
      <c r="G9" s="74">
        <f>SUM(G6:G8)-SUM(J6:J8)</f>
        <v>29750</v>
      </c>
      <c r="H9" s="74">
        <f>SUM(H6:H8)</f>
        <v>29750</v>
      </c>
      <c r="I9">
        <f>SUM(I6:I8)</f>
        <v>0</v>
      </c>
      <c r="J9">
        <f>SUM(J6:J8)</f>
        <v>0</v>
      </c>
      <c r="K9" s="74">
        <f>G9</f>
        <v>29750</v>
      </c>
    </row>
    <row r="12" spans="1:14" x14ac:dyDescent="0.25">
      <c r="C12" s="146"/>
      <c r="D12" s="147"/>
      <c r="G12"/>
      <c r="H12"/>
    </row>
    <row r="13" spans="1:14" x14ac:dyDescent="0.25">
      <c r="G13"/>
      <c r="H13"/>
    </row>
    <row r="14" spans="1:14" ht="30" x14ac:dyDescent="0.25">
      <c r="B14" s="14" t="s">
        <v>110</v>
      </c>
      <c r="C14" s="55" t="s">
        <v>63</v>
      </c>
      <c r="D14" s="55" t="s">
        <v>31</v>
      </c>
      <c r="E14" s="55" t="s">
        <v>64</v>
      </c>
      <c r="F14" s="55" t="s">
        <v>65</v>
      </c>
      <c r="G14" s="55" t="s">
        <v>66</v>
      </c>
      <c r="H14" s="55" t="s">
        <v>3</v>
      </c>
      <c r="I14" s="55" t="s">
        <v>67</v>
      </c>
      <c r="J14" s="55" t="s">
        <v>68</v>
      </c>
      <c r="K14" s="55" t="s">
        <v>69</v>
      </c>
      <c r="L14" s="94" t="s">
        <v>138</v>
      </c>
      <c r="M14" s="94" t="s">
        <v>143</v>
      </c>
      <c r="N14" s="94" t="s">
        <v>139</v>
      </c>
    </row>
    <row r="15" spans="1:14" x14ac:dyDescent="0.25">
      <c r="B15" s="145" t="s">
        <v>92</v>
      </c>
      <c r="C15" s="52">
        <v>46030</v>
      </c>
      <c r="D15" s="5" t="s">
        <v>55</v>
      </c>
      <c r="E15" s="5">
        <v>1000</v>
      </c>
      <c r="F15" s="5">
        <v>52</v>
      </c>
      <c r="G15" s="82">
        <v>52000</v>
      </c>
      <c r="H15" s="82">
        <v>52000</v>
      </c>
      <c r="I15" s="5"/>
      <c r="J15" s="5"/>
      <c r="K15" s="5"/>
      <c r="L15" s="52">
        <v>46030</v>
      </c>
      <c r="M15" s="82">
        <v>52000</v>
      </c>
      <c r="N15" s="5"/>
    </row>
    <row r="16" spans="1:14" x14ac:dyDescent="0.25">
      <c r="G16" t="s">
        <v>73</v>
      </c>
      <c r="H16" s="74">
        <f>G15</f>
        <v>52000</v>
      </c>
    </row>
    <row r="17" spans="7:8" x14ac:dyDescent="0.25">
      <c r="G17"/>
      <c r="H17"/>
    </row>
  </sheetData>
  <mergeCells count="3">
    <mergeCell ref="C6:C8"/>
    <mergeCell ref="L6:L8"/>
    <mergeCell ref="M6:M8"/>
  </mergeCells>
  <pageMargins left="0.7" right="0.7" top="0.75" bottom="0.75" header="0.511811023622047" footer="0.511811023622047"/>
  <pageSetup paperSize="9"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5:N7"/>
  <sheetViews>
    <sheetView zoomScaleNormal="100" workbookViewId="0">
      <selection activeCell="A5" sqref="A5:B5"/>
    </sheetView>
  </sheetViews>
  <sheetFormatPr defaultColWidth="8.7109375" defaultRowHeight="15" x14ac:dyDescent="0.25"/>
  <cols>
    <col min="3" max="3" width="15.7109375" customWidth="1"/>
    <col min="4" max="4" width="24" customWidth="1"/>
    <col min="7" max="8" width="10.5703125" style="74" bestFit="1" customWidth="1"/>
    <col min="10" max="10" width="12" customWidth="1"/>
    <col min="11" max="11" width="22" customWidth="1"/>
    <col min="12" max="12" width="14.7109375" bestFit="1" customWidth="1"/>
    <col min="13" max="13" width="10.85546875" style="74" customWidth="1"/>
    <col min="14" max="14" width="17" customWidth="1"/>
  </cols>
  <sheetData>
    <row r="5" spans="1:14" ht="27.75" customHeight="1" x14ac:dyDescent="0.25">
      <c r="A5" s="14" t="s">
        <v>61</v>
      </c>
      <c r="B5" s="14" t="s">
        <v>110</v>
      </c>
      <c r="C5" s="25" t="s">
        <v>63</v>
      </c>
      <c r="D5" s="25" t="s">
        <v>31</v>
      </c>
      <c r="E5" s="104" t="s">
        <v>64</v>
      </c>
      <c r="F5" s="104" t="s">
        <v>65</v>
      </c>
      <c r="G5" s="140" t="s">
        <v>66</v>
      </c>
      <c r="H5" s="140" t="s">
        <v>3</v>
      </c>
      <c r="I5" s="109" t="s">
        <v>67</v>
      </c>
      <c r="J5" s="104" t="s">
        <v>68</v>
      </c>
      <c r="K5" s="104" t="s">
        <v>69</v>
      </c>
      <c r="L5" s="105" t="s">
        <v>138</v>
      </c>
      <c r="M5" s="142" t="s">
        <v>143</v>
      </c>
      <c r="N5" s="105" t="s">
        <v>139</v>
      </c>
    </row>
    <row r="6" spans="1:14" ht="18.75" x14ac:dyDescent="0.25">
      <c r="A6" s="23" t="s">
        <v>13</v>
      </c>
      <c r="B6" s="16" t="s">
        <v>74</v>
      </c>
      <c r="C6" s="22" t="s">
        <v>93</v>
      </c>
      <c r="D6" s="5" t="s">
        <v>44</v>
      </c>
      <c r="E6" s="99">
        <v>30</v>
      </c>
      <c r="F6" s="99">
        <v>690</v>
      </c>
      <c r="G6" s="141">
        <v>20700</v>
      </c>
      <c r="H6" s="141">
        <v>20700</v>
      </c>
      <c r="I6" s="99">
        <v>0</v>
      </c>
      <c r="J6" s="110"/>
      <c r="K6" s="99" t="str">
        <f>IF(J6&gt;0,G6-J6,"")</f>
        <v/>
      </c>
      <c r="L6" s="99" t="s">
        <v>93</v>
      </c>
      <c r="M6" s="141">
        <v>20700</v>
      </c>
      <c r="N6" s="99" t="s">
        <v>140</v>
      </c>
    </row>
    <row r="7" spans="1:14" x14ac:dyDescent="0.25">
      <c r="F7" s="78" t="s">
        <v>73</v>
      </c>
      <c r="G7" s="74">
        <f>SUM(G6:G6)-SUM(J6:J6)</f>
        <v>20700</v>
      </c>
      <c r="H7" s="74">
        <f>H6</f>
        <v>20700</v>
      </c>
      <c r="I7">
        <f>I6</f>
        <v>0</v>
      </c>
      <c r="J7">
        <f>SUM(J6:J6)</f>
        <v>0</v>
      </c>
      <c r="K7" s="74">
        <f>G7</f>
        <v>20700</v>
      </c>
      <c r="L7" s="79" t="s">
        <v>73</v>
      </c>
      <c r="M7" s="74">
        <f>SUM(M6)</f>
        <v>20700</v>
      </c>
    </row>
  </sheetData>
  <pageMargins left="0.7" right="0.7" top="0.75" bottom="0.75" header="0.511811023622047" footer="0.511811023622047"/>
  <pageSetup paperSize="9" orientation="portrait"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B5:O9"/>
  <sheetViews>
    <sheetView zoomScaleNormal="100" workbookViewId="0">
      <selection activeCell="B7" sqref="B7:C7"/>
    </sheetView>
  </sheetViews>
  <sheetFormatPr defaultColWidth="8.7109375" defaultRowHeight="15" x14ac:dyDescent="0.25"/>
  <cols>
    <col min="4" max="4" width="20.140625" customWidth="1"/>
    <col min="5" max="5" width="22.28515625" customWidth="1"/>
    <col min="7" max="7" width="14.140625" customWidth="1"/>
    <col min="8" max="8" width="20.42578125" customWidth="1"/>
    <col min="9" max="9" width="10.28515625" customWidth="1"/>
    <col min="10" max="10" width="10.140625" customWidth="1"/>
    <col min="11" max="11" width="12" customWidth="1"/>
    <col min="12" max="12" width="22" customWidth="1"/>
    <col min="13" max="13" width="14.7109375" bestFit="1" customWidth="1"/>
    <col min="14" max="14" width="17.85546875" bestFit="1" customWidth="1"/>
    <col min="15" max="15" width="31.28515625" customWidth="1"/>
  </cols>
  <sheetData>
    <row r="5" spans="2:15" ht="15.75" customHeight="1" x14ac:dyDescent="0.25">
      <c r="D5" s="14" t="s">
        <v>61</v>
      </c>
    </row>
    <row r="7" spans="2:15" ht="27.75" customHeight="1" x14ac:dyDescent="0.25">
      <c r="B7" s="14" t="s">
        <v>61</v>
      </c>
      <c r="C7" s="14" t="s">
        <v>110</v>
      </c>
      <c r="D7" s="25" t="s">
        <v>63</v>
      </c>
      <c r="E7" s="25" t="s">
        <v>31</v>
      </c>
      <c r="F7" s="25" t="s">
        <v>64</v>
      </c>
      <c r="G7" s="25" t="s">
        <v>65</v>
      </c>
      <c r="H7" s="25" t="s">
        <v>66</v>
      </c>
      <c r="I7" s="25" t="s">
        <v>3</v>
      </c>
      <c r="J7" s="17" t="s">
        <v>67</v>
      </c>
      <c r="K7" s="25" t="s">
        <v>68</v>
      </c>
      <c r="L7" s="25" t="s">
        <v>69</v>
      </c>
      <c r="M7" s="14" t="s">
        <v>138</v>
      </c>
      <c r="N7" s="14" t="s">
        <v>143</v>
      </c>
      <c r="O7" s="14" t="s">
        <v>139</v>
      </c>
    </row>
    <row r="8" spans="2:15" ht="15.75" x14ac:dyDescent="0.25">
      <c r="B8" s="33" t="s">
        <v>134</v>
      </c>
      <c r="C8" s="16" t="s">
        <v>74</v>
      </c>
      <c r="D8" s="22" t="s">
        <v>94</v>
      </c>
      <c r="E8" s="5" t="s">
        <v>53</v>
      </c>
      <c r="F8" s="5">
        <v>30</v>
      </c>
      <c r="G8" s="5">
        <v>220</v>
      </c>
      <c r="H8" s="5">
        <v>6600</v>
      </c>
      <c r="I8" s="5">
        <v>6600</v>
      </c>
      <c r="J8" s="5">
        <v>0</v>
      </c>
      <c r="K8" s="19"/>
      <c r="L8" s="5" t="str">
        <f>IF(K8&gt;0,H8-K8,"")</f>
        <v/>
      </c>
      <c r="M8" s="5" t="s">
        <v>94</v>
      </c>
      <c r="N8" s="80">
        <v>6600</v>
      </c>
      <c r="O8" s="5" t="s">
        <v>157</v>
      </c>
    </row>
    <row r="9" spans="2:15" x14ac:dyDescent="0.25">
      <c r="G9" s="21" t="s">
        <v>73</v>
      </c>
      <c r="H9">
        <f>SUM(H8:H8)-SUM(K8:K8)</f>
        <v>6600</v>
      </c>
      <c r="I9">
        <f>I8</f>
        <v>6600</v>
      </c>
      <c r="J9">
        <f>J8</f>
        <v>0</v>
      </c>
      <c r="K9">
        <f>SUM(K8:K8)</f>
        <v>0</v>
      </c>
      <c r="L9">
        <f>H9</f>
        <v>6600</v>
      </c>
      <c r="M9" s="79" t="s">
        <v>73</v>
      </c>
      <c r="N9">
        <f>SUM(N8)</f>
        <v>6600</v>
      </c>
    </row>
  </sheetData>
  <pageMargins left="0.7" right="0.7" top="0.75" bottom="0.75" header="0.511811023622047" footer="0.511811023622047"/>
  <pageSetup paperSize="9" orientation="portrait"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C4:P9"/>
  <sheetViews>
    <sheetView zoomScale="85" zoomScaleNormal="85" workbookViewId="0">
      <selection activeCell="C4" sqref="C4:D4"/>
    </sheetView>
  </sheetViews>
  <sheetFormatPr defaultColWidth="8.7109375" defaultRowHeight="15" x14ac:dyDescent="0.25"/>
  <cols>
    <col min="5" max="5" width="17.5703125" customWidth="1"/>
    <col min="6" max="6" width="22.5703125" customWidth="1"/>
    <col min="7" max="7" width="11.5703125" customWidth="1"/>
    <col min="8" max="8" width="12.42578125" customWidth="1"/>
    <col min="9" max="9" width="15.5703125" style="74" customWidth="1"/>
    <col min="10" max="10" width="18.42578125" style="74" customWidth="1"/>
    <col min="11" max="11" width="18.42578125" customWidth="1"/>
    <col min="12" max="12" width="12" customWidth="1"/>
    <col min="13" max="13" width="22" customWidth="1"/>
    <col min="14" max="14" width="14.7109375" style="112" bestFit="1" customWidth="1"/>
    <col min="15" max="15" width="19.7109375" customWidth="1"/>
    <col min="16" max="16" width="26.5703125" customWidth="1"/>
  </cols>
  <sheetData>
    <row r="4" spans="3:16" ht="30" x14ac:dyDescent="0.25">
      <c r="C4" s="14" t="s">
        <v>61</v>
      </c>
      <c r="D4" s="14" t="s">
        <v>110</v>
      </c>
      <c r="E4" s="25" t="s">
        <v>63</v>
      </c>
      <c r="F4" s="25" t="s">
        <v>31</v>
      </c>
      <c r="G4" s="25" t="s">
        <v>64</v>
      </c>
      <c r="H4" s="25" t="s">
        <v>65</v>
      </c>
      <c r="I4" s="123" t="s">
        <v>66</v>
      </c>
      <c r="J4" s="123" t="s">
        <v>3</v>
      </c>
      <c r="K4" s="17" t="s">
        <v>67</v>
      </c>
      <c r="L4" s="25" t="s">
        <v>68</v>
      </c>
      <c r="M4" s="25" t="s">
        <v>69</v>
      </c>
      <c r="N4" s="113" t="s">
        <v>138</v>
      </c>
      <c r="O4" s="14" t="s">
        <v>143</v>
      </c>
      <c r="P4" s="14" t="s">
        <v>139</v>
      </c>
    </row>
    <row r="5" spans="3:16" ht="18.75" x14ac:dyDescent="0.25">
      <c r="C5" s="43" t="s">
        <v>15</v>
      </c>
      <c r="D5" s="16" t="s">
        <v>74</v>
      </c>
      <c r="E5" s="176" t="s">
        <v>94</v>
      </c>
      <c r="F5" s="5" t="s">
        <v>53</v>
      </c>
      <c r="G5" s="5">
        <v>30</v>
      </c>
      <c r="H5" s="5">
        <v>225</v>
      </c>
      <c r="I5" s="82">
        <v>6750</v>
      </c>
      <c r="J5" s="82">
        <v>6750</v>
      </c>
      <c r="K5" s="82">
        <v>0</v>
      </c>
      <c r="L5" s="36"/>
      <c r="M5" s="6" t="str">
        <f>IF(L5&gt;0,I5-L5,"")</f>
        <v/>
      </c>
      <c r="N5" s="114" t="s">
        <v>91</v>
      </c>
      <c r="O5" s="82">
        <v>10000</v>
      </c>
      <c r="P5" s="5" t="s">
        <v>140</v>
      </c>
    </row>
    <row r="6" spans="3:16" x14ac:dyDescent="0.25">
      <c r="E6" s="176"/>
      <c r="F6" s="5"/>
      <c r="G6" s="5"/>
      <c r="H6" s="5"/>
      <c r="I6" s="82"/>
      <c r="J6" s="82"/>
      <c r="K6" s="82">
        <v>0</v>
      </c>
      <c r="L6" s="36"/>
      <c r="M6" s="6"/>
      <c r="N6" s="115">
        <v>46209</v>
      </c>
      <c r="O6" s="93">
        <v>7600</v>
      </c>
      <c r="P6" s="118" t="s">
        <v>142</v>
      </c>
    </row>
    <row r="7" spans="3:16" ht="30" x14ac:dyDescent="0.25">
      <c r="E7" s="176"/>
      <c r="F7" s="5" t="s">
        <v>44</v>
      </c>
      <c r="G7" s="5">
        <v>30</v>
      </c>
      <c r="H7" s="41">
        <v>695</v>
      </c>
      <c r="I7" s="82">
        <f>PRODUCT(G7:H7)</f>
        <v>20850</v>
      </c>
      <c r="J7" s="82">
        <v>20850</v>
      </c>
      <c r="K7" s="82">
        <v>0</v>
      </c>
      <c r="L7" s="36"/>
      <c r="M7" s="6" t="str">
        <f>IF(L7&gt;0,I7-L7,"")</f>
        <v/>
      </c>
      <c r="N7" s="116">
        <v>46148</v>
      </c>
      <c r="O7" s="82">
        <v>10000</v>
      </c>
      <c r="P7" s="118" t="s">
        <v>141</v>
      </c>
    </row>
    <row r="8" spans="3:16" x14ac:dyDescent="0.25">
      <c r="H8" s="21" t="s">
        <v>73</v>
      </c>
      <c r="I8" s="93">
        <f>SUM(I5:I7)-SUM(L5:L7)</f>
        <v>27600</v>
      </c>
      <c r="J8" s="93"/>
      <c r="K8" s="75">
        <v>0</v>
      </c>
      <c r="L8" s="81"/>
      <c r="M8" s="93">
        <f>I8</f>
        <v>27600</v>
      </c>
      <c r="O8" s="75">
        <f>SUM(O5:O7)</f>
        <v>27600</v>
      </c>
    </row>
    <row r="9" spans="3:16" x14ac:dyDescent="0.25">
      <c r="E9" s="20"/>
      <c r="L9" s="44"/>
      <c r="M9" s="44"/>
    </row>
  </sheetData>
  <mergeCells count="1">
    <mergeCell ref="E5:E7"/>
  </mergeCells>
  <pageMargins left="0.7" right="0.7" top="0.75" bottom="0.75" header="0.511811023622047" footer="0.511811023622047"/>
  <pageSetup paperSize="9" orientation="portrait" horizontalDpi="300" verticalDpi="30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5:N16"/>
  <sheetViews>
    <sheetView topLeftCell="A2" zoomScale="80" zoomScaleNormal="80" workbookViewId="0">
      <selection activeCell="A5" sqref="A5:B5"/>
    </sheetView>
  </sheetViews>
  <sheetFormatPr defaultColWidth="8.7109375" defaultRowHeight="15" x14ac:dyDescent="0.25"/>
  <cols>
    <col min="3" max="3" width="15.42578125" customWidth="1"/>
    <col min="4" max="4" width="22.85546875" customWidth="1"/>
    <col min="5" max="5" width="10.5703125" customWidth="1"/>
    <col min="6" max="6" width="15.5703125" customWidth="1"/>
    <col min="7" max="8" width="11.28515625" style="74" bestFit="1" customWidth="1"/>
    <col min="10" max="10" width="12" customWidth="1"/>
    <col min="11" max="11" width="22" style="74" customWidth="1"/>
    <col min="12" max="12" width="14.85546875" bestFit="1" customWidth="1"/>
    <col min="13" max="13" width="13.140625" customWidth="1"/>
    <col min="14" max="14" width="24.85546875" customWidth="1"/>
  </cols>
  <sheetData>
    <row r="5" spans="1:14" ht="27.75" customHeight="1" x14ac:dyDescent="0.25">
      <c r="A5" s="14" t="s">
        <v>61</v>
      </c>
      <c r="B5" s="14" t="s">
        <v>110</v>
      </c>
      <c r="C5" s="25" t="s">
        <v>63</v>
      </c>
      <c r="D5" s="25" t="s">
        <v>31</v>
      </c>
      <c r="E5" s="25" t="s">
        <v>64</v>
      </c>
      <c r="F5" s="25" t="s">
        <v>65</v>
      </c>
      <c r="G5" s="123" t="s">
        <v>66</v>
      </c>
      <c r="H5" s="123" t="s">
        <v>3</v>
      </c>
      <c r="I5" s="17" t="s">
        <v>67</v>
      </c>
      <c r="J5" s="25" t="s">
        <v>68</v>
      </c>
      <c r="K5" s="123" t="s">
        <v>69</v>
      </c>
      <c r="L5" s="14" t="s">
        <v>138</v>
      </c>
      <c r="M5" s="14" t="s">
        <v>143</v>
      </c>
      <c r="N5" s="14" t="s">
        <v>139</v>
      </c>
    </row>
    <row r="6" spans="1:14" ht="18.75" x14ac:dyDescent="0.3">
      <c r="A6" s="37" t="s">
        <v>16</v>
      </c>
      <c r="B6" s="16" t="s">
        <v>74</v>
      </c>
      <c r="C6" s="22" t="s">
        <v>76</v>
      </c>
      <c r="D6" s="5" t="s">
        <v>44</v>
      </c>
      <c r="E6" s="80">
        <v>30</v>
      </c>
      <c r="F6" s="5">
        <v>680</v>
      </c>
      <c r="G6" s="82">
        <v>20400</v>
      </c>
      <c r="H6" s="82">
        <v>20400</v>
      </c>
      <c r="I6" s="5">
        <v>0</v>
      </c>
      <c r="J6" s="19"/>
      <c r="K6" s="82" t="str">
        <f>IF(J6&gt;0,G6-J6,"")</f>
        <v/>
      </c>
      <c r="L6" s="5" t="s">
        <v>97</v>
      </c>
      <c r="M6" s="82">
        <v>20400</v>
      </c>
      <c r="N6" s="5"/>
    </row>
    <row r="7" spans="1:14" x14ac:dyDescent="0.25">
      <c r="E7" s="71"/>
      <c r="F7" s="29" t="s">
        <v>73</v>
      </c>
      <c r="G7" s="74">
        <f>SUM(G6:G6)-SUM(J6:J6)</f>
        <v>20400</v>
      </c>
      <c r="H7" s="74">
        <f>H6</f>
        <v>20400</v>
      </c>
      <c r="I7">
        <f>I6</f>
        <v>0</v>
      </c>
      <c r="J7">
        <f>SUM(J6:J6)</f>
        <v>0</v>
      </c>
      <c r="K7" s="74">
        <f>G7</f>
        <v>20400</v>
      </c>
    </row>
    <row r="8" spans="1:14" x14ac:dyDescent="0.25">
      <c r="E8" s="71"/>
    </row>
    <row r="9" spans="1:14" ht="30" x14ac:dyDescent="0.25">
      <c r="B9" s="14" t="s">
        <v>110</v>
      </c>
      <c r="C9" s="25" t="s">
        <v>63</v>
      </c>
      <c r="D9" s="25" t="s">
        <v>31</v>
      </c>
      <c r="E9" s="25" t="s">
        <v>64</v>
      </c>
      <c r="F9" s="25" t="s">
        <v>65</v>
      </c>
      <c r="G9" s="123" t="s">
        <v>66</v>
      </c>
      <c r="H9" s="123" t="s">
        <v>3</v>
      </c>
      <c r="I9" s="17" t="s">
        <v>67</v>
      </c>
      <c r="J9" s="25" t="s">
        <v>68</v>
      </c>
      <c r="K9" s="123" t="s">
        <v>69</v>
      </c>
      <c r="L9" s="14" t="s">
        <v>138</v>
      </c>
      <c r="M9" s="14" t="s">
        <v>143</v>
      </c>
      <c r="N9" s="14" t="s">
        <v>139</v>
      </c>
    </row>
    <row r="10" spans="1:14" x14ac:dyDescent="0.25">
      <c r="B10" s="16" t="s">
        <v>77</v>
      </c>
      <c r="C10" s="40">
        <v>46118</v>
      </c>
      <c r="D10" s="5" t="s">
        <v>44</v>
      </c>
      <c r="E10" s="80">
        <v>30</v>
      </c>
      <c r="F10" s="5">
        <v>680</v>
      </c>
      <c r="G10" s="82">
        <v>20400</v>
      </c>
      <c r="H10" s="82">
        <v>20400</v>
      </c>
      <c r="I10" s="5">
        <v>0</v>
      </c>
      <c r="J10" s="19"/>
      <c r="K10" s="82" t="str">
        <f>IF(J10&gt;0,G10-J10,"")</f>
        <v/>
      </c>
      <c r="L10" s="116">
        <v>46240</v>
      </c>
      <c r="M10" s="82">
        <v>20400</v>
      </c>
      <c r="N10" s="5"/>
    </row>
    <row r="11" spans="1:14" x14ac:dyDescent="0.25">
      <c r="E11" s="71"/>
      <c r="F11" s="29" t="s">
        <v>73</v>
      </c>
      <c r="G11" s="74">
        <f>SUM(G10)-SUM(J10)</f>
        <v>20400</v>
      </c>
      <c r="H11" s="74">
        <f>H10</f>
        <v>20400</v>
      </c>
      <c r="I11">
        <f>I10</f>
        <v>0</v>
      </c>
      <c r="J11">
        <f>SUM(J8:J10)</f>
        <v>0</v>
      </c>
      <c r="K11" s="74">
        <f>G11</f>
        <v>20400</v>
      </c>
    </row>
    <row r="12" spans="1:14" x14ac:dyDescent="0.25">
      <c r="E12" s="71"/>
    </row>
    <row r="13" spans="1:14" ht="30" x14ac:dyDescent="0.25">
      <c r="B13" s="14" t="s">
        <v>110</v>
      </c>
      <c r="C13" s="25" t="s">
        <v>63</v>
      </c>
      <c r="D13" s="25" t="s">
        <v>31</v>
      </c>
      <c r="E13" s="25" t="s">
        <v>64</v>
      </c>
      <c r="F13" s="25" t="s">
        <v>65</v>
      </c>
      <c r="G13" s="123" t="s">
        <v>66</v>
      </c>
      <c r="H13" s="123" t="s">
        <v>3</v>
      </c>
      <c r="I13" s="17" t="s">
        <v>67</v>
      </c>
      <c r="J13" s="25" t="s">
        <v>68</v>
      </c>
      <c r="K13" s="123" t="s">
        <v>69</v>
      </c>
      <c r="L13" s="14" t="s">
        <v>138</v>
      </c>
      <c r="M13" s="14" t="s">
        <v>143</v>
      </c>
      <c r="N13" s="14" t="s">
        <v>139</v>
      </c>
    </row>
    <row r="14" spans="1:14" x14ac:dyDescent="0.25">
      <c r="B14" s="16" t="s">
        <v>95</v>
      </c>
      <c r="C14" s="175">
        <v>46149</v>
      </c>
      <c r="D14" s="5" t="s">
        <v>40</v>
      </c>
      <c r="E14" s="80">
        <v>30</v>
      </c>
      <c r="F14" s="5">
        <v>690</v>
      </c>
      <c r="G14" s="82">
        <v>20700</v>
      </c>
      <c r="H14" s="82">
        <v>20700</v>
      </c>
      <c r="I14" s="5">
        <v>0</v>
      </c>
      <c r="J14" s="19"/>
      <c r="K14" s="82" t="str">
        <f>IF(J14&gt;0,G14-J14,"")</f>
        <v/>
      </c>
      <c r="L14" s="168">
        <v>46149</v>
      </c>
      <c r="M14" s="185">
        <v>27300</v>
      </c>
      <c r="N14" s="5"/>
    </row>
    <row r="15" spans="1:14" x14ac:dyDescent="0.25">
      <c r="C15" s="175"/>
      <c r="D15" s="5" t="s">
        <v>96</v>
      </c>
      <c r="E15" s="80">
        <v>30</v>
      </c>
      <c r="F15" s="5">
        <v>220</v>
      </c>
      <c r="G15" s="82">
        <v>6600</v>
      </c>
      <c r="H15" s="82">
        <v>6600</v>
      </c>
      <c r="I15" s="5">
        <v>0</v>
      </c>
      <c r="J15" s="19"/>
      <c r="K15" s="82" t="str">
        <f>IF(J15&gt;0,G15-J15,"")</f>
        <v/>
      </c>
      <c r="L15" s="177"/>
      <c r="M15" s="186"/>
      <c r="N15" s="5"/>
    </row>
    <row r="16" spans="1:14" x14ac:dyDescent="0.25">
      <c r="F16" s="29" t="s">
        <v>73</v>
      </c>
      <c r="G16" s="74">
        <f>SUM(G14:G15)-SUM(J14:J15)</f>
        <v>27300</v>
      </c>
      <c r="H16" s="74">
        <f>SUM(H14:H15)</f>
        <v>27300</v>
      </c>
      <c r="I16">
        <f>SUM(I14:I15)</f>
        <v>0</v>
      </c>
      <c r="J16">
        <f>SUM(J12:J15)</f>
        <v>0</v>
      </c>
      <c r="K16" s="74">
        <f>G16</f>
        <v>27300</v>
      </c>
      <c r="L16" s="78" t="s">
        <v>73</v>
      </c>
      <c r="M16" s="75">
        <f>SUM(M14)</f>
        <v>27300</v>
      </c>
    </row>
  </sheetData>
  <mergeCells count="3">
    <mergeCell ref="C14:C15"/>
    <mergeCell ref="L14:L15"/>
    <mergeCell ref="M14:M15"/>
  </mergeCells>
  <pageMargins left="0.7" right="0.7" top="0.75" bottom="0.75" header="0.511811023622047" footer="0.511811023622047"/>
  <pageSetup paperSize="9" orientation="portrait" horizontalDpi="300" verticalDpi="30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C5:P7"/>
  <sheetViews>
    <sheetView zoomScaleNormal="100" workbookViewId="0">
      <selection activeCell="C5" sqref="C5:D5"/>
    </sheetView>
  </sheetViews>
  <sheetFormatPr defaultColWidth="8.7109375" defaultRowHeight="15" x14ac:dyDescent="0.25"/>
  <cols>
    <col min="5" max="5" width="11.28515625" customWidth="1"/>
    <col min="6" max="6" width="22.42578125" customWidth="1"/>
    <col min="8" max="8" width="9.7109375" customWidth="1"/>
    <col min="9" max="9" width="10.28515625" style="74" customWidth="1"/>
    <col min="10" max="10" width="12.42578125" style="74" customWidth="1"/>
    <col min="12" max="12" width="12" customWidth="1"/>
    <col min="13" max="13" width="22" customWidth="1"/>
    <col min="14" max="14" width="14.7109375" bestFit="1" customWidth="1"/>
    <col min="15" max="15" width="17.85546875" bestFit="1" customWidth="1"/>
    <col min="16" max="16" width="21.42578125" bestFit="1" customWidth="1"/>
  </cols>
  <sheetData>
    <row r="5" spans="3:16" ht="27.75" customHeight="1" x14ac:dyDescent="0.25">
      <c r="C5" s="14" t="s">
        <v>61</v>
      </c>
      <c r="D5" s="14" t="s">
        <v>110</v>
      </c>
      <c r="E5" s="25" t="s">
        <v>63</v>
      </c>
      <c r="F5" s="25" t="s">
        <v>31</v>
      </c>
      <c r="G5" s="25" t="s">
        <v>64</v>
      </c>
      <c r="H5" s="25" t="s">
        <v>65</v>
      </c>
      <c r="I5" s="123" t="s">
        <v>66</v>
      </c>
      <c r="J5" s="123" t="s">
        <v>3</v>
      </c>
      <c r="K5" s="17" t="s">
        <v>67</v>
      </c>
      <c r="L5" s="25" t="s">
        <v>68</v>
      </c>
      <c r="M5" s="25" t="s">
        <v>69</v>
      </c>
      <c r="N5" s="14" t="s">
        <v>138</v>
      </c>
      <c r="O5" s="14" t="s">
        <v>143</v>
      </c>
      <c r="P5" s="14" t="s">
        <v>139</v>
      </c>
    </row>
    <row r="6" spans="3:16" x14ac:dyDescent="0.25">
      <c r="C6" s="31" t="s">
        <v>17</v>
      </c>
      <c r="D6" s="16" t="s">
        <v>74</v>
      </c>
      <c r="E6" s="5" t="s">
        <v>97</v>
      </c>
      <c r="F6" s="5"/>
      <c r="G6" s="5"/>
      <c r="H6" s="5"/>
      <c r="I6" s="82">
        <v>97500</v>
      </c>
      <c r="J6" s="82">
        <v>97500</v>
      </c>
      <c r="K6" s="5">
        <f>IF(AND(I6="",J6=""),"",I6-J6)</f>
        <v>0</v>
      </c>
      <c r="L6" s="19"/>
      <c r="M6" s="5" t="str">
        <f>IF(L6&gt;0,I6-L6,"")</f>
        <v/>
      </c>
      <c r="N6" s="5" t="s">
        <v>97</v>
      </c>
      <c r="O6" s="5">
        <v>97500</v>
      </c>
      <c r="P6" s="5" t="s">
        <v>156</v>
      </c>
    </row>
    <row r="7" spans="3:16" x14ac:dyDescent="0.25">
      <c r="H7" s="29" t="s">
        <v>73</v>
      </c>
      <c r="I7" s="74">
        <f>SUM(I6:I6)-SUM(L6:L6)</f>
        <v>97500</v>
      </c>
      <c r="J7" s="74">
        <f>J6</f>
        <v>97500</v>
      </c>
      <c r="K7" s="5">
        <f>IF(AND(I7="",J7=""),"",I7-J7)</f>
        <v>0</v>
      </c>
      <c r="L7">
        <f>SUM(L6:L6)</f>
        <v>0</v>
      </c>
      <c r="M7" s="74">
        <f>I7</f>
        <v>97500</v>
      </c>
      <c r="N7" t="s">
        <v>73</v>
      </c>
      <c r="O7">
        <f>SUM(O6)</f>
        <v>97500</v>
      </c>
    </row>
  </sheetData>
  <pageMargins left="0.7" right="0.7" top="0.75" bottom="0.75" header="0.511811023622047" footer="0.511811023622047"/>
  <pageSetup paperSize="9" orientation="portrait" horizontalDpi="300" verticalDpi="30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4:N12"/>
  <sheetViews>
    <sheetView zoomScale="85" zoomScaleNormal="85" workbookViewId="0">
      <selection activeCell="B6" sqref="A6:B6"/>
    </sheetView>
  </sheetViews>
  <sheetFormatPr defaultColWidth="8.7109375" defaultRowHeight="15" x14ac:dyDescent="0.25"/>
  <cols>
    <col min="3" max="3" width="14.140625" customWidth="1"/>
    <col min="4" max="4" width="25.5703125" customWidth="1"/>
    <col min="5" max="5" width="13.5703125" customWidth="1"/>
    <col min="6" max="6" width="18.42578125" customWidth="1"/>
    <col min="7" max="7" width="17.28515625" customWidth="1"/>
    <col min="8" max="8" width="17.5703125" customWidth="1"/>
    <col min="9" max="9" width="19.42578125" customWidth="1"/>
    <col min="10" max="10" width="12" customWidth="1"/>
    <col min="11" max="11" width="22" customWidth="1"/>
    <col min="12" max="12" width="14.7109375" bestFit="1" customWidth="1"/>
    <col min="13" max="13" width="17.85546875" bestFit="1" customWidth="1"/>
    <col min="14" max="14" width="28.28515625" customWidth="1"/>
  </cols>
  <sheetData>
    <row r="4" spans="1:14" ht="27.75" customHeight="1" x14ac:dyDescent="0.25"/>
    <row r="6" spans="1:14" ht="27.75" customHeight="1" x14ac:dyDescent="0.25">
      <c r="A6" s="14" t="s">
        <v>61</v>
      </c>
      <c r="B6" s="14" t="s">
        <v>110</v>
      </c>
      <c r="C6" s="25" t="s">
        <v>63</v>
      </c>
      <c r="D6" s="25" t="s">
        <v>31</v>
      </c>
      <c r="E6" s="25" t="s">
        <v>64</v>
      </c>
      <c r="F6" s="25" t="s">
        <v>65</v>
      </c>
      <c r="G6" s="25" t="s">
        <v>66</v>
      </c>
      <c r="H6" s="25" t="s">
        <v>3</v>
      </c>
      <c r="I6" s="17" t="s">
        <v>67</v>
      </c>
      <c r="J6" s="25" t="s">
        <v>68</v>
      </c>
      <c r="K6" s="25" t="s">
        <v>69</v>
      </c>
      <c r="L6" s="14" t="s">
        <v>138</v>
      </c>
      <c r="M6" s="14" t="s">
        <v>143</v>
      </c>
      <c r="N6" s="14" t="s">
        <v>139</v>
      </c>
    </row>
    <row r="7" spans="1:14" ht="21" x14ac:dyDescent="0.25">
      <c r="A7" s="45" t="s">
        <v>18</v>
      </c>
      <c r="B7" s="16" t="s">
        <v>74</v>
      </c>
      <c r="C7" s="5" t="s">
        <v>98</v>
      </c>
      <c r="D7" s="5" t="s">
        <v>44</v>
      </c>
      <c r="E7" s="5">
        <v>30</v>
      </c>
      <c r="F7" s="5">
        <v>680</v>
      </c>
      <c r="G7" s="82">
        <v>20900</v>
      </c>
      <c r="H7" s="82">
        <v>20900</v>
      </c>
      <c r="I7" s="5">
        <v>0</v>
      </c>
      <c r="J7" s="19"/>
      <c r="K7" s="5" t="str">
        <f>IF(J7&gt;0,G7-J7,"")</f>
        <v/>
      </c>
      <c r="L7" s="5" t="s">
        <v>98</v>
      </c>
      <c r="M7" s="82">
        <v>20400</v>
      </c>
      <c r="N7" s="5" t="s">
        <v>155</v>
      </c>
    </row>
    <row r="8" spans="1:14" x14ac:dyDescent="0.25">
      <c r="F8" s="21" t="s">
        <v>73</v>
      </c>
      <c r="G8" s="74">
        <f>SUM(G7:G7)-SUM(J7:J7)</f>
        <v>20900</v>
      </c>
      <c r="H8" s="74">
        <f>H7</f>
        <v>20900</v>
      </c>
      <c r="I8">
        <f>I7</f>
        <v>0</v>
      </c>
      <c r="J8">
        <f>SUM(J7:J7)</f>
        <v>0</v>
      </c>
      <c r="K8" s="74">
        <f>G8</f>
        <v>20900</v>
      </c>
    </row>
    <row r="10" spans="1:14" ht="30" x14ac:dyDescent="0.25">
      <c r="B10" s="14" t="s">
        <v>110</v>
      </c>
      <c r="C10" s="25" t="s">
        <v>63</v>
      </c>
      <c r="D10" s="25" t="s">
        <v>31</v>
      </c>
      <c r="E10" s="25" t="s">
        <v>64</v>
      </c>
      <c r="F10" s="25" t="s">
        <v>65</v>
      </c>
      <c r="G10" s="25" t="s">
        <v>66</v>
      </c>
      <c r="H10" s="25" t="s">
        <v>3</v>
      </c>
      <c r="I10" s="17" t="s">
        <v>67</v>
      </c>
      <c r="J10" s="25" t="s">
        <v>68</v>
      </c>
      <c r="K10" s="25" t="s">
        <v>69</v>
      </c>
      <c r="L10" s="14" t="s">
        <v>138</v>
      </c>
      <c r="M10" s="14" t="s">
        <v>143</v>
      </c>
      <c r="N10" s="14" t="s">
        <v>139</v>
      </c>
    </row>
    <row r="11" spans="1:14" x14ac:dyDescent="0.25">
      <c r="B11" s="16" t="s">
        <v>77</v>
      </c>
      <c r="C11" s="5" t="s">
        <v>99</v>
      </c>
      <c r="D11" s="5" t="s">
        <v>46</v>
      </c>
      <c r="E11" s="5">
        <v>30</v>
      </c>
      <c r="F11" s="5">
        <v>680</v>
      </c>
      <c r="G11" s="82">
        <v>20400</v>
      </c>
      <c r="H11" s="82">
        <v>20400</v>
      </c>
      <c r="I11" s="5">
        <v>0</v>
      </c>
      <c r="J11" s="19"/>
      <c r="K11" s="5" t="str">
        <f>IF(J11&gt;0,G11-J11,"")</f>
        <v/>
      </c>
      <c r="L11" s="111" t="s">
        <v>148</v>
      </c>
      <c r="M11" s="101">
        <v>20400</v>
      </c>
      <c r="N11" s="5" t="s">
        <v>150</v>
      </c>
    </row>
    <row r="12" spans="1:14" x14ac:dyDescent="0.25">
      <c r="F12" s="79" t="s">
        <v>73</v>
      </c>
      <c r="G12" s="74">
        <f>SUM(G9:G11)-SUM(J9:J11)</f>
        <v>20400</v>
      </c>
      <c r="H12" s="74">
        <f>H11</f>
        <v>20400</v>
      </c>
      <c r="I12">
        <f>I11</f>
        <v>0</v>
      </c>
      <c r="J12">
        <f>SUM(J9:J11)</f>
        <v>0</v>
      </c>
      <c r="K12" s="74">
        <f>G12</f>
        <v>20400</v>
      </c>
    </row>
  </sheetData>
  <pageMargins left="0.7" right="0.7" top="0.75" bottom="0.75" header="0.511811023622047" footer="0.511811023622047"/>
  <pageSetup paperSize="9" orientation="portrait" horizontalDpi="300" verticalDpi="30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5:N14"/>
  <sheetViews>
    <sheetView zoomScale="70" zoomScaleNormal="70" workbookViewId="0">
      <selection activeCell="B7" sqref="A7:B7"/>
    </sheetView>
  </sheetViews>
  <sheetFormatPr defaultColWidth="8.7109375" defaultRowHeight="15" x14ac:dyDescent="0.25"/>
  <cols>
    <col min="3" max="3" width="13.85546875" customWidth="1"/>
    <col min="4" max="4" width="32.85546875" customWidth="1"/>
    <col min="5" max="5" width="24.85546875" customWidth="1"/>
    <col min="6" max="6" width="19.28515625" customWidth="1"/>
    <col min="7" max="7" width="32.5703125" customWidth="1"/>
    <col min="8" max="8" width="15.140625" customWidth="1"/>
    <col min="9" max="9" width="15.42578125" customWidth="1"/>
    <col min="10" max="10" width="12" customWidth="1"/>
    <col min="11" max="11" width="22" customWidth="1"/>
    <col min="12" max="12" width="14.7109375" bestFit="1" customWidth="1"/>
    <col min="13" max="13" width="17.85546875" bestFit="1" customWidth="1"/>
  </cols>
  <sheetData>
    <row r="5" spans="1:14" ht="27.75" customHeight="1" x14ac:dyDescent="0.25">
      <c r="C5" s="14" t="s">
        <v>61</v>
      </c>
    </row>
    <row r="7" spans="1:14" ht="27.75" customHeight="1" x14ac:dyDescent="0.25">
      <c r="A7" s="14" t="s">
        <v>61</v>
      </c>
      <c r="B7" s="14" t="s">
        <v>110</v>
      </c>
      <c r="C7" s="25" t="s">
        <v>63</v>
      </c>
      <c r="D7" s="25" t="s">
        <v>31</v>
      </c>
      <c r="E7" s="25" t="s">
        <v>64</v>
      </c>
      <c r="F7" s="25" t="s">
        <v>65</v>
      </c>
      <c r="G7" s="25" t="s">
        <v>66</v>
      </c>
      <c r="H7" s="25" t="s">
        <v>3</v>
      </c>
      <c r="I7" s="17" t="s">
        <v>67</v>
      </c>
      <c r="J7" s="25" t="s">
        <v>68</v>
      </c>
      <c r="K7" s="25" t="s">
        <v>69</v>
      </c>
      <c r="L7" s="14" t="s">
        <v>138</v>
      </c>
      <c r="M7" s="14" t="s">
        <v>143</v>
      </c>
      <c r="N7" s="14" t="s">
        <v>139</v>
      </c>
    </row>
    <row r="8" spans="1:14" ht="18.75" x14ac:dyDescent="0.25">
      <c r="A8" s="47" t="s">
        <v>19</v>
      </c>
      <c r="B8" s="16" t="s">
        <v>74</v>
      </c>
      <c r="C8" s="176" t="s">
        <v>75</v>
      </c>
      <c r="D8" s="5" t="s">
        <v>100</v>
      </c>
      <c r="E8" s="5">
        <v>510</v>
      </c>
      <c r="F8" s="5">
        <v>220</v>
      </c>
      <c r="G8" s="5">
        <v>112200</v>
      </c>
      <c r="H8" s="5">
        <v>112200</v>
      </c>
      <c r="I8" s="5">
        <v>0</v>
      </c>
      <c r="J8" s="19"/>
      <c r="K8" s="5" t="str">
        <f t="shared" ref="K8:K13" si="0">IF(J8&gt;0,G8-J8,"")</f>
        <v/>
      </c>
      <c r="L8" s="5" t="s">
        <v>159</v>
      </c>
      <c r="M8" s="82">
        <v>500000</v>
      </c>
      <c r="N8" s="5"/>
    </row>
    <row r="9" spans="1:14" x14ac:dyDescent="0.25">
      <c r="C9" s="176"/>
      <c r="D9" s="5" t="s">
        <v>101</v>
      </c>
      <c r="E9" s="5">
        <v>150</v>
      </c>
      <c r="F9" s="5">
        <v>700</v>
      </c>
      <c r="G9" s="5">
        <v>105000</v>
      </c>
      <c r="H9" s="5">
        <v>105000</v>
      </c>
      <c r="I9" s="5">
        <v>0</v>
      </c>
      <c r="J9" s="19"/>
      <c r="K9" s="5" t="str">
        <f t="shared" si="0"/>
        <v/>
      </c>
      <c r="L9" s="5"/>
      <c r="M9" s="82"/>
      <c r="N9" s="5"/>
    </row>
    <row r="10" spans="1:14" x14ac:dyDescent="0.25">
      <c r="C10" s="176"/>
      <c r="D10" s="5" t="s">
        <v>102</v>
      </c>
      <c r="E10" s="5">
        <v>150</v>
      </c>
      <c r="F10" s="5">
        <v>700</v>
      </c>
      <c r="G10" s="5">
        <v>105000</v>
      </c>
      <c r="H10" s="5">
        <v>105000</v>
      </c>
      <c r="I10" s="5">
        <v>0</v>
      </c>
      <c r="J10" s="19"/>
      <c r="K10" s="5" t="str">
        <f t="shared" si="0"/>
        <v/>
      </c>
      <c r="L10" s="5"/>
      <c r="M10" s="82"/>
      <c r="N10" s="5"/>
    </row>
    <row r="11" spans="1:14" x14ac:dyDescent="0.25">
      <c r="C11" s="176"/>
      <c r="D11" s="5" t="s">
        <v>72</v>
      </c>
      <c r="E11" s="5">
        <v>40</v>
      </c>
      <c r="F11" s="5">
        <v>1200</v>
      </c>
      <c r="G11" s="5">
        <v>48000</v>
      </c>
      <c r="H11" s="5">
        <v>48000</v>
      </c>
      <c r="I11" s="5">
        <v>0</v>
      </c>
      <c r="J11" s="19"/>
      <c r="K11" s="5" t="str">
        <f t="shared" si="0"/>
        <v/>
      </c>
      <c r="L11" s="5"/>
      <c r="M11" s="82"/>
      <c r="N11" s="5"/>
    </row>
    <row r="12" spans="1:14" x14ac:dyDescent="0.25">
      <c r="C12" s="176"/>
      <c r="D12" s="5" t="s">
        <v>103</v>
      </c>
      <c r="E12" s="5">
        <v>40</v>
      </c>
      <c r="F12" s="5">
        <v>1400</v>
      </c>
      <c r="G12" s="5">
        <v>56000</v>
      </c>
      <c r="H12" s="5">
        <v>56000</v>
      </c>
      <c r="I12" s="5">
        <v>0</v>
      </c>
      <c r="J12" s="19"/>
      <c r="K12" s="5" t="str">
        <f t="shared" si="0"/>
        <v/>
      </c>
      <c r="L12" s="5"/>
      <c r="M12" s="82"/>
      <c r="N12" s="5"/>
    </row>
    <row r="13" spans="1:14" x14ac:dyDescent="0.25">
      <c r="C13" s="176"/>
      <c r="D13" s="5" t="s">
        <v>82</v>
      </c>
      <c r="E13" s="5">
        <v>500</v>
      </c>
      <c r="F13" s="5">
        <v>55</v>
      </c>
      <c r="G13" s="5">
        <v>27500</v>
      </c>
      <c r="H13" s="5">
        <v>27500</v>
      </c>
      <c r="I13" s="5">
        <v>0</v>
      </c>
      <c r="J13" s="19"/>
      <c r="K13" s="5" t="str">
        <f t="shared" si="0"/>
        <v/>
      </c>
      <c r="L13" s="5"/>
      <c r="M13" s="82"/>
      <c r="N13" s="5"/>
    </row>
    <row r="14" spans="1:14" x14ac:dyDescent="0.25">
      <c r="F14" s="21" t="s">
        <v>73</v>
      </c>
      <c r="G14">
        <f>SUM(G8:G13)-SUM(J8:J13)</f>
        <v>453700</v>
      </c>
      <c r="H14">
        <f>SUM(H8:H13)</f>
        <v>453700</v>
      </c>
      <c r="I14">
        <f>SUM(I8:I13)</f>
        <v>0</v>
      </c>
      <c r="J14">
        <f>SUM(J8:J13)</f>
        <v>0</v>
      </c>
      <c r="K14">
        <f>G14</f>
        <v>453700</v>
      </c>
    </row>
  </sheetData>
  <mergeCells count="1">
    <mergeCell ref="C8:C13"/>
  </mergeCells>
  <pageMargins left="0.7" right="0.7" top="0.75" bottom="0.75" header="0.511811023622047" footer="0.511811023622047"/>
  <pageSetup paperSize="9" orientation="portrait" horizontalDpi="300" verticalDpi="30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B5:O16"/>
  <sheetViews>
    <sheetView topLeftCell="B1" zoomScale="85" zoomScaleNormal="85" workbookViewId="0">
      <selection activeCell="C5" sqref="B5:C5"/>
    </sheetView>
  </sheetViews>
  <sheetFormatPr defaultColWidth="8.7109375" defaultRowHeight="15" x14ac:dyDescent="0.25"/>
  <cols>
    <col min="4" max="4" width="22.85546875" customWidth="1"/>
    <col min="5" max="5" width="24.85546875" customWidth="1"/>
    <col min="6" max="6" width="9.28515625" customWidth="1"/>
    <col min="7" max="7" width="14.42578125" customWidth="1"/>
    <col min="8" max="8" width="13.28515625" customWidth="1"/>
    <col min="9" max="9" width="12.5703125" customWidth="1"/>
    <col min="10" max="10" width="11.42578125" customWidth="1"/>
    <col min="11" max="11" width="12" customWidth="1"/>
    <col min="12" max="12" width="22" customWidth="1"/>
    <col min="13" max="13" width="11.140625" customWidth="1"/>
    <col min="14" max="14" width="17.85546875" bestFit="1" customWidth="1"/>
    <col min="15" max="15" width="29.28515625" customWidth="1"/>
  </cols>
  <sheetData>
    <row r="5" spans="2:15" ht="27.75" customHeight="1" x14ac:dyDescent="0.25">
      <c r="B5" s="14" t="s">
        <v>61</v>
      </c>
      <c r="C5" s="14" t="s">
        <v>110</v>
      </c>
      <c r="D5" s="25" t="s">
        <v>63</v>
      </c>
      <c r="E5" s="25" t="s">
        <v>31</v>
      </c>
      <c r="F5" s="25" t="s">
        <v>64</v>
      </c>
      <c r="G5" s="25" t="s">
        <v>65</v>
      </c>
      <c r="H5" s="25" t="s">
        <v>66</v>
      </c>
      <c r="I5" s="25" t="s">
        <v>3</v>
      </c>
      <c r="J5" s="25" t="s">
        <v>67</v>
      </c>
      <c r="K5" s="25" t="s">
        <v>68</v>
      </c>
      <c r="L5" s="25" t="s">
        <v>69</v>
      </c>
      <c r="M5" s="25" t="s">
        <v>138</v>
      </c>
      <c r="N5" s="25" t="s">
        <v>143</v>
      </c>
      <c r="O5" s="25" t="s">
        <v>139</v>
      </c>
    </row>
    <row r="6" spans="2:15" ht="18.75" x14ac:dyDescent="0.25">
      <c r="B6" s="23" t="s">
        <v>20</v>
      </c>
      <c r="C6" s="48" t="s">
        <v>74</v>
      </c>
      <c r="D6" s="168">
        <v>46361</v>
      </c>
      <c r="E6" s="5" t="s">
        <v>40</v>
      </c>
      <c r="F6" s="80">
        <v>30</v>
      </c>
      <c r="G6" s="80">
        <v>690</v>
      </c>
      <c r="H6" s="5">
        <v>21000</v>
      </c>
      <c r="I6" s="5">
        <v>20700</v>
      </c>
      <c r="J6" s="5">
        <v>0</v>
      </c>
      <c r="K6" s="19"/>
      <c r="L6" s="5" t="str">
        <f>IF(K6&gt;0,H6-K6,"")</f>
        <v/>
      </c>
      <c r="M6" s="111" t="s">
        <v>160</v>
      </c>
      <c r="N6" s="100">
        <v>7500</v>
      </c>
      <c r="O6" s="80" t="s">
        <v>140</v>
      </c>
    </row>
    <row r="7" spans="2:15" x14ac:dyDescent="0.25">
      <c r="D7" s="191"/>
      <c r="E7" s="5" t="s">
        <v>53</v>
      </c>
      <c r="F7" s="80">
        <v>30</v>
      </c>
      <c r="G7" s="80">
        <v>230</v>
      </c>
      <c r="H7" s="5">
        <v>6900</v>
      </c>
      <c r="I7" s="5">
        <v>6900</v>
      </c>
      <c r="J7" s="5">
        <v>0</v>
      </c>
      <c r="K7" s="19"/>
      <c r="L7" s="5" t="str">
        <f>IF(K7&gt;0,H7-K7,"")</f>
        <v/>
      </c>
      <c r="M7" s="5" t="s">
        <v>76</v>
      </c>
      <c r="N7" s="100">
        <v>10000</v>
      </c>
      <c r="O7" s="80" t="s">
        <v>140</v>
      </c>
    </row>
    <row r="8" spans="2:15" x14ac:dyDescent="0.25">
      <c r="D8" s="177"/>
      <c r="E8" s="5"/>
      <c r="F8" s="5"/>
      <c r="G8" s="5"/>
      <c r="H8" s="5"/>
      <c r="I8" s="5"/>
      <c r="J8" s="5"/>
      <c r="K8" s="5"/>
      <c r="L8" s="5"/>
      <c r="M8" s="5" t="s">
        <v>158</v>
      </c>
      <c r="N8" s="82">
        <v>10000</v>
      </c>
      <c r="O8" s="80" t="s">
        <v>161</v>
      </c>
    </row>
    <row r="9" spans="2:15" x14ac:dyDescent="0.25">
      <c r="G9" s="46" t="s">
        <v>73</v>
      </c>
      <c r="H9" s="74">
        <f>SUM(H6:H8)-SUM(K6:K8)</f>
        <v>27900</v>
      </c>
      <c r="L9" s="74">
        <f>H9</f>
        <v>27900</v>
      </c>
      <c r="M9" s="79" t="s">
        <v>73</v>
      </c>
      <c r="N9" s="75">
        <f>SUM(N6:N8)</f>
        <v>27500</v>
      </c>
    </row>
    <row r="12" spans="2:15" ht="30" x14ac:dyDescent="0.25">
      <c r="C12" s="14" t="s">
        <v>110</v>
      </c>
      <c r="D12" s="25" t="s">
        <v>63</v>
      </c>
      <c r="E12" s="25" t="s">
        <v>31</v>
      </c>
      <c r="F12" s="25" t="s">
        <v>64</v>
      </c>
      <c r="G12" s="25" t="s">
        <v>65</v>
      </c>
      <c r="H12" s="25" t="s">
        <v>66</v>
      </c>
      <c r="I12" s="25" t="s">
        <v>3</v>
      </c>
      <c r="J12" s="14" t="s">
        <v>67</v>
      </c>
      <c r="K12" s="25" t="s">
        <v>68</v>
      </c>
      <c r="L12" s="25" t="s">
        <v>69</v>
      </c>
      <c r="M12" s="14" t="s">
        <v>138</v>
      </c>
      <c r="N12" s="14" t="s">
        <v>143</v>
      </c>
      <c r="O12" s="14" t="s">
        <v>139</v>
      </c>
    </row>
    <row r="13" spans="2:15" x14ac:dyDescent="0.25">
      <c r="C13" s="48" t="s">
        <v>77</v>
      </c>
      <c r="D13" s="168">
        <v>46087</v>
      </c>
      <c r="E13" s="5" t="s">
        <v>40</v>
      </c>
      <c r="F13" s="80">
        <v>30</v>
      </c>
      <c r="G13" s="80">
        <v>700</v>
      </c>
      <c r="H13" s="5">
        <v>21000</v>
      </c>
      <c r="I13" s="5">
        <v>21000</v>
      </c>
      <c r="J13" s="5">
        <v>0</v>
      </c>
      <c r="K13" s="19"/>
      <c r="L13" s="5" t="str">
        <f>IF(K13&gt;0,H13-K13,"")</f>
        <v/>
      </c>
      <c r="M13" s="111" t="s">
        <v>148</v>
      </c>
      <c r="N13" s="100">
        <v>15000</v>
      </c>
      <c r="O13" s="111" t="s">
        <v>147</v>
      </c>
    </row>
    <row r="14" spans="2:15" x14ac:dyDescent="0.25">
      <c r="D14" s="191"/>
      <c r="E14" s="5" t="s">
        <v>53</v>
      </c>
      <c r="F14" s="80">
        <v>30</v>
      </c>
      <c r="G14" s="80">
        <v>230</v>
      </c>
      <c r="H14" s="5">
        <v>6900</v>
      </c>
      <c r="I14" s="5">
        <v>6900</v>
      </c>
      <c r="J14" s="5">
        <v>0</v>
      </c>
      <c r="K14" s="19"/>
      <c r="L14" s="5" t="str">
        <f>IF(K14&gt;0,H14-K14,"")</f>
        <v/>
      </c>
      <c r="M14" s="5" t="s">
        <v>151</v>
      </c>
      <c r="N14" s="100">
        <v>5000</v>
      </c>
      <c r="O14" s="5" t="s">
        <v>149</v>
      </c>
    </row>
    <row r="15" spans="2:15" x14ac:dyDescent="0.25">
      <c r="D15" s="177"/>
      <c r="E15" s="5"/>
      <c r="F15" s="80"/>
      <c r="G15" s="80"/>
      <c r="H15" s="5"/>
      <c r="I15" s="5"/>
      <c r="J15" s="5"/>
      <c r="K15" s="19"/>
      <c r="L15" s="5"/>
      <c r="M15" s="119">
        <v>46087</v>
      </c>
      <c r="N15" s="120">
        <v>15000</v>
      </c>
      <c r="O15" s="5"/>
    </row>
    <row r="16" spans="2:15" x14ac:dyDescent="0.25">
      <c r="G16" s="21" t="s">
        <v>73</v>
      </c>
      <c r="H16" s="74">
        <f>SUM(H13:H14)-SUM(K13:K14)</f>
        <v>27900</v>
      </c>
      <c r="I16" s="74">
        <f>SUM(I13:I15)</f>
        <v>27900</v>
      </c>
      <c r="J16">
        <v>0</v>
      </c>
      <c r="K16">
        <f>SUM(K13:K14)</f>
        <v>0</v>
      </c>
      <c r="L16" s="74">
        <f>H16</f>
        <v>27900</v>
      </c>
    </row>
  </sheetData>
  <mergeCells count="2">
    <mergeCell ref="D13:D15"/>
    <mergeCell ref="D6:D8"/>
  </mergeCells>
  <pageMargins left="0.7" right="0.7" top="0.75" bottom="0.75" header="0.511811023622047" footer="0.511811023622047"/>
  <pageSetup paperSize="9" orientation="portrait" horizontalDpi="300" verticalDpi="300"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4:N6"/>
  <sheetViews>
    <sheetView zoomScale="85" zoomScaleNormal="85" workbookViewId="0">
      <selection activeCell="A4" sqref="A4:B4"/>
    </sheetView>
  </sheetViews>
  <sheetFormatPr defaultColWidth="8.7109375" defaultRowHeight="15" x14ac:dyDescent="0.25"/>
  <cols>
    <col min="3" max="3" width="11.7109375" customWidth="1"/>
    <col min="4" max="4" width="19" customWidth="1"/>
    <col min="5" max="5" width="19.140625" customWidth="1"/>
    <col min="6" max="6" width="12.85546875" customWidth="1"/>
    <col min="7" max="7" width="16.28515625" style="74" customWidth="1"/>
    <col min="8" max="8" width="13.42578125" style="74" customWidth="1"/>
    <col min="9" max="9" width="16.5703125" customWidth="1"/>
    <col min="10" max="10" width="12" customWidth="1"/>
    <col min="11" max="11" width="22" style="74" customWidth="1"/>
    <col min="12" max="12" width="8.85546875" bestFit="1" customWidth="1"/>
    <col min="13" max="13" width="13.42578125" customWidth="1"/>
    <col min="14" max="14" width="29.5703125" customWidth="1"/>
  </cols>
  <sheetData>
    <row r="4" spans="1:14" ht="30" x14ac:dyDescent="0.25">
      <c r="A4" s="14" t="s">
        <v>61</v>
      </c>
      <c r="B4" s="14" t="s">
        <v>110</v>
      </c>
      <c r="C4" s="14" t="s">
        <v>63</v>
      </c>
      <c r="D4" s="14" t="s">
        <v>31</v>
      </c>
      <c r="E4" s="14" t="s">
        <v>64</v>
      </c>
      <c r="F4" s="14" t="s">
        <v>65</v>
      </c>
      <c r="G4" s="121" t="s">
        <v>66</v>
      </c>
      <c r="H4" s="121" t="s">
        <v>3</v>
      </c>
      <c r="I4" s="14" t="s">
        <v>67</v>
      </c>
      <c r="J4" s="14" t="s">
        <v>68</v>
      </c>
      <c r="K4" s="121" t="s">
        <v>69</v>
      </c>
      <c r="L4" s="14" t="s">
        <v>138</v>
      </c>
      <c r="M4" s="14" t="s">
        <v>143</v>
      </c>
      <c r="N4" s="14" t="s">
        <v>139</v>
      </c>
    </row>
    <row r="5" spans="1:14" ht="15.75" x14ac:dyDescent="0.25">
      <c r="A5" s="15" t="s">
        <v>21</v>
      </c>
      <c r="B5" s="49" t="s">
        <v>77</v>
      </c>
      <c r="C5" s="42">
        <v>46179</v>
      </c>
      <c r="D5" s="5" t="s">
        <v>42</v>
      </c>
      <c r="E5" s="5">
        <v>30</v>
      </c>
      <c r="F5" s="5">
        <v>680</v>
      </c>
      <c r="G5" s="82">
        <v>20400</v>
      </c>
      <c r="H5" s="82">
        <v>20400</v>
      </c>
      <c r="I5" s="5">
        <v>0</v>
      </c>
      <c r="J5" s="19"/>
      <c r="K5" s="82" t="str">
        <f>IF(J5&gt;0,G5-J5,"")</f>
        <v/>
      </c>
      <c r="L5" s="52">
        <v>46179</v>
      </c>
      <c r="M5" s="82">
        <v>20400</v>
      </c>
      <c r="N5" s="5" t="s">
        <v>164</v>
      </c>
    </row>
    <row r="6" spans="1:14" x14ac:dyDescent="0.25">
      <c r="F6" s="21" t="s">
        <v>73</v>
      </c>
      <c r="G6" s="74">
        <f>SUM(G5:G5)-SUM(J5:J5)</f>
        <v>20400</v>
      </c>
      <c r="H6" s="74">
        <f>H5</f>
        <v>20400</v>
      </c>
      <c r="I6">
        <f>I5</f>
        <v>0</v>
      </c>
      <c r="J6">
        <f>SUM(J5:J5)</f>
        <v>0</v>
      </c>
      <c r="K6" s="74">
        <f>G6</f>
        <v>20400</v>
      </c>
    </row>
  </sheetData>
  <pageMargins left="0.7" right="0.7" top="0.75" bottom="0.75" header="0.511811023622047" footer="0.511811023622047"/>
  <pageSetup paperSize="9" orientation="portrait" horizontalDpi="300" verticalDpi="30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B4:O7"/>
  <sheetViews>
    <sheetView zoomScale="70" zoomScaleNormal="70" workbookViewId="0">
      <selection activeCell="B4" sqref="B4:C4"/>
    </sheetView>
  </sheetViews>
  <sheetFormatPr defaultColWidth="8.7109375" defaultRowHeight="15" x14ac:dyDescent="0.25"/>
  <cols>
    <col min="4" max="4" width="11.85546875" customWidth="1"/>
    <col min="5" max="5" width="26.28515625" customWidth="1"/>
    <col min="6" max="6" width="19.28515625" customWidth="1"/>
    <col min="7" max="7" width="12.28515625" customWidth="1"/>
    <col min="8" max="8" width="17.7109375" style="74" customWidth="1"/>
    <col min="9" max="9" width="21.140625" style="74" customWidth="1"/>
    <col min="10" max="10" width="21.28515625" customWidth="1"/>
    <col min="11" max="11" width="12" customWidth="1"/>
    <col min="12" max="12" width="22" style="74" customWidth="1"/>
    <col min="13" max="13" width="11.28515625" customWidth="1"/>
    <col min="14" max="14" width="12.42578125" style="74" customWidth="1"/>
    <col min="15" max="15" width="27.85546875" customWidth="1"/>
  </cols>
  <sheetData>
    <row r="4" spans="2:15" ht="30" x14ac:dyDescent="0.25">
      <c r="B4" s="14" t="s">
        <v>61</v>
      </c>
      <c r="C4" s="14" t="s">
        <v>110</v>
      </c>
      <c r="D4" s="25" t="s">
        <v>63</v>
      </c>
      <c r="E4" s="25" t="s">
        <v>31</v>
      </c>
      <c r="F4" s="25" t="s">
        <v>64</v>
      </c>
      <c r="G4" s="25" t="s">
        <v>65</v>
      </c>
      <c r="H4" s="123" t="s">
        <v>66</v>
      </c>
      <c r="I4" s="123" t="s">
        <v>3</v>
      </c>
      <c r="J4" s="14" t="s">
        <v>67</v>
      </c>
      <c r="K4" s="25" t="s">
        <v>68</v>
      </c>
      <c r="L4" s="123" t="s">
        <v>69</v>
      </c>
      <c r="M4" s="14" t="s">
        <v>138</v>
      </c>
      <c r="N4" s="121" t="s">
        <v>143</v>
      </c>
      <c r="O4" s="14" t="s">
        <v>139</v>
      </c>
    </row>
    <row r="5" spans="2:15" ht="18.75" x14ac:dyDescent="0.25">
      <c r="B5" s="23" t="s">
        <v>22</v>
      </c>
      <c r="C5" s="48" t="s">
        <v>77</v>
      </c>
      <c r="D5" s="42">
        <v>46029</v>
      </c>
      <c r="E5" s="5" t="s">
        <v>104</v>
      </c>
      <c r="F5" s="5">
        <v>10</v>
      </c>
      <c r="G5" s="102">
        <v>1200</v>
      </c>
      <c r="H5" s="126">
        <v>12000</v>
      </c>
      <c r="I5" s="126">
        <v>12000</v>
      </c>
      <c r="J5" s="85"/>
      <c r="K5" s="102"/>
      <c r="L5" s="126"/>
      <c r="M5" s="103">
        <v>46029</v>
      </c>
      <c r="N5" s="129">
        <v>6000</v>
      </c>
      <c r="O5" s="125" t="s">
        <v>152</v>
      </c>
    </row>
    <row r="6" spans="2:15" x14ac:dyDescent="0.25">
      <c r="D6" s="5"/>
      <c r="E6" s="5"/>
      <c r="F6" s="5"/>
      <c r="G6" s="5"/>
      <c r="H6" s="82"/>
      <c r="I6" s="82"/>
      <c r="J6" s="5">
        <v>0</v>
      </c>
      <c r="K6" s="19"/>
      <c r="L6" s="82" t="str">
        <f>IF(K6&gt;0,H6-K6,"")</f>
        <v/>
      </c>
      <c r="M6" s="40">
        <v>46060</v>
      </c>
      <c r="N6" s="117">
        <v>6000</v>
      </c>
      <c r="O6" s="114" t="s">
        <v>152</v>
      </c>
    </row>
    <row r="7" spans="2:15" x14ac:dyDescent="0.25">
      <c r="G7" s="21" t="s">
        <v>73</v>
      </c>
      <c r="H7" s="74">
        <f>SUM(H5:H6)-SUM(K5:K6)</f>
        <v>12000</v>
      </c>
      <c r="I7" s="74">
        <f>SUM(I5:I6)</f>
        <v>12000</v>
      </c>
      <c r="J7">
        <f>SUM(J6:J6)</f>
        <v>0</v>
      </c>
      <c r="K7">
        <f>SUM(K6:K6)</f>
        <v>0</v>
      </c>
      <c r="L7" s="74">
        <f>H7</f>
        <v>12000</v>
      </c>
      <c r="M7" t="s">
        <v>73</v>
      </c>
      <c r="N7" s="128">
        <f>SUM(N5:N6)</f>
        <v>12000</v>
      </c>
    </row>
  </sheetData>
  <pageMargins left="0.7" right="0.7" top="0.75" bottom="0.75" header="0.511811023622047" footer="0.511811023622047"/>
  <pageSetup paperSize="9" orientation="portrait" horizontalDpi="300" verticalDpi="30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B4:O7"/>
  <sheetViews>
    <sheetView zoomScale="85" zoomScaleNormal="85" workbookViewId="0">
      <selection activeCell="B4" sqref="B4:C4"/>
    </sheetView>
  </sheetViews>
  <sheetFormatPr defaultColWidth="8.7109375" defaultRowHeight="15" x14ac:dyDescent="0.25"/>
  <cols>
    <col min="4" max="4" width="11.42578125" customWidth="1"/>
    <col min="5" max="5" width="22.42578125" customWidth="1"/>
    <col min="6" max="6" width="16" customWidth="1"/>
    <col min="7" max="7" width="13.28515625" customWidth="1"/>
    <col min="8" max="8" width="18.7109375" customWidth="1"/>
    <col min="9" max="9" width="13.42578125" customWidth="1"/>
    <col min="10" max="10" width="13.28515625" customWidth="1"/>
    <col min="11" max="11" width="12" customWidth="1"/>
    <col min="12" max="12" width="22" customWidth="1"/>
    <col min="13" max="13" width="11.28515625" customWidth="1"/>
    <col min="14" max="14" width="11.5703125" bestFit="1" customWidth="1"/>
    <col min="15" max="15" width="29.42578125" customWidth="1"/>
  </cols>
  <sheetData>
    <row r="4" spans="2:15" ht="30" x14ac:dyDescent="0.25">
      <c r="B4" s="14" t="s">
        <v>61</v>
      </c>
      <c r="C4" s="14" t="s">
        <v>110</v>
      </c>
      <c r="D4" s="25" t="s">
        <v>63</v>
      </c>
      <c r="E4" s="25" t="s">
        <v>31</v>
      </c>
      <c r="F4" s="25" t="s">
        <v>64</v>
      </c>
      <c r="G4" s="25" t="s">
        <v>65</v>
      </c>
      <c r="H4" s="25" t="s">
        <v>66</v>
      </c>
      <c r="I4" s="25" t="s">
        <v>3</v>
      </c>
      <c r="J4" s="17" t="s">
        <v>67</v>
      </c>
      <c r="K4" s="25" t="s">
        <v>68</v>
      </c>
      <c r="L4" s="25" t="s">
        <v>69</v>
      </c>
      <c r="M4" s="14" t="s">
        <v>138</v>
      </c>
      <c r="N4" s="14" t="s">
        <v>143</v>
      </c>
      <c r="O4" s="14" t="s">
        <v>139</v>
      </c>
    </row>
    <row r="5" spans="2:15" ht="18.75" x14ac:dyDescent="0.3">
      <c r="B5" s="37" t="s">
        <v>23</v>
      </c>
      <c r="C5" s="16" t="s">
        <v>77</v>
      </c>
      <c r="D5" s="176" t="s">
        <v>105</v>
      </c>
      <c r="E5" s="5" t="s">
        <v>53</v>
      </c>
      <c r="F5" s="5">
        <v>740</v>
      </c>
      <c r="G5" s="5">
        <v>500</v>
      </c>
      <c r="H5" s="5">
        <v>370000</v>
      </c>
      <c r="I5" s="5">
        <v>275000</v>
      </c>
      <c r="J5" s="5">
        <f>IF(AND(H5="",I5=""),"",H5-I5)</f>
        <v>95000</v>
      </c>
      <c r="K5" s="19"/>
      <c r="L5" s="5" t="str">
        <f>IF(K5&gt;0,H5-K5,"")</f>
        <v/>
      </c>
      <c r="M5" s="178" t="s">
        <v>146</v>
      </c>
      <c r="N5" s="170">
        <v>400000</v>
      </c>
      <c r="O5" s="178" t="s">
        <v>147</v>
      </c>
    </row>
    <row r="6" spans="2:15" x14ac:dyDescent="0.25">
      <c r="D6" s="176"/>
      <c r="E6" s="5" t="s">
        <v>59</v>
      </c>
      <c r="F6" s="5">
        <v>250</v>
      </c>
      <c r="G6" s="5">
        <v>500</v>
      </c>
      <c r="H6" s="5">
        <v>125000</v>
      </c>
      <c r="I6" s="5">
        <v>125000</v>
      </c>
      <c r="J6" s="5">
        <v>0</v>
      </c>
      <c r="K6" s="19"/>
      <c r="L6" s="5" t="str">
        <f>IF(K6&gt;0,H6-K6,"")</f>
        <v/>
      </c>
      <c r="M6" s="169"/>
      <c r="N6" s="171"/>
      <c r="O6" s="169"/>
    </row>
    <row r="7" spans="2:15" x14ac:dyDescent="0.25">
      <c r="G7" s="21" t="s">
        <v>73</v>
      </c>
      <c r="H7">
        <f>SUM(H5:H6)-SUM(K5:K6)</f>
        <v>495000</v>
      </c>
      <c r="I7">
        <f>SUM(I5:I6)</f>
        <v>400000</v>
      </c>
      <c r="J7">
        <f>SUM(J5:J6)</f>
        <v>95000</v>
      </c>
      <c r="K7">
        <f>SUM(K5:K6)</f>
        <v>0</v>
      </c>
      <c r="L7">
        <f>H7</f>
        <v>495000</v>
      </c>
    </row>
  </sheetData>
  <mergeCells count="4">
    <mergeCell ref="D5:D6"/>
    <mergeCell ref="M5:M6"/>
    <mergeCell ref="N5:N6"/>
    <mergeCell ref="O5:O6"/>
  </mergeCells>
  <pageMargins left="0.7" right="0.7" top="0.75" bottom="0.75" header="0.511811023622047" footer="0.511811023622047"/>
  <pageSetup paperSize="9" orientation="portrait" horizontalDpi="300" verticalDpi="30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B5:O9"/>
  <sheetViews>
    <sheetView topLeftCell="B1" zoomScale="85" zoomScaleNormal="85" workbookViewId="0">
      <selection activeCell="B5" sqref="B5:C5"/>
    </sheetView>
  </sheetViews>
  <sheetFormatPr defaultColWidth="8.7109375" defaultRowHeight="15" x14ac:dyDescent="0.25"/>
  <cols>
    <col min="4" max="4" width="16.42578125" customWidth="1"/>
    <col min="5" max="5" width="29.28515625" customWidth="1"/>
    <col min="7" max="7" width="9.7109375" customWidth="1"/>
    <col min="8" max="8" width="13.7109375" customWidth="1"/>
    <col min="9" max="9" width="15.7109375" customWidth="1"/>
    <col min="10" max="10" width="19" customWidth="1"/>
    <col min="11" max="11" width="12" customWidth="1"/>
    <col min="12" max="12" width="22" customWidth="1"/>
    <col min="13" max="13" width="15" customWidth="1"/>
    <col min="14" max="14" width="12.140625" customWidth="1"/>
    <col min="15" max="15" width="18.140625" customWidth="1"/>
  </cols>
  <sheetData>
    <row r="5" spans="2:15" ht="30" x14ac:dyDescent="0.25">
      <c r="B5" s="14" t="s">
        <v>61</v>
      </c>
      <c r="C5" s="14" t="s">
        <v>110</v>
      </c>
      <c r="D5" s="25" t="s">
        <v>63</v>
      </c>
      <c r="E5" s="25" t="s">
        <v>31</v>
      </c>
      <c r="F5" s="25" t="s">
        <v>64</v>
      </c>
      <c r="G5" s="25" t="s">
        <v>65</v>
      </c>
      <c r="H5" s="25" t="s">
        <v>66</v>
      </c>
      <c r="I5" s="14" t="s">
        <v>3</v>
      </c>
      <c r="J5" s="14" t="s">
        <v>67</v>
      </c>
      <c r="K5" s="25" t="s">
        <v>68</v>
      </c>
      <c r="L5" s="25" t="s">
        <v>69</v>
      </c>
      <c r="M5" s="14" t="s">
        <v>138</v>
      </c>
      <c r="N5" s="14" t="s">
        <v>143</v>
      </c>
      <c r="O5" s="14" t="s">
        <v>139</v>
      </c>
    </row>
    <row r="6" spans="2:15" ht="18.75" x14ac:dyDescent="0.25">
      <c r="B6" s="50" t="s">
        <v>24</v>
      </c>
      <c r="C6" s="48" t="s">
        <v>92</v>
      </c>
      <c r="D6" s="175">
        <v>46149</v>
      </c>
      <c r="E6" s="5" t="s">
        <v>53</v>
      </c>
      <c r="F6" s="5">
        <v>60</v>
      </c>
      <c r="G6" s="80">
        <v>230</v>
      </c>
      <c r="H6" s="82">
        <v>13800</v>
      </c>
      <c r="I6" s="100">
        <v>13800</v>
      </c>
      <c r="J6" s="82">
        <f>IF(AND(H6="",I6=""),"", H6-I6)</f>
        <v>0</v>
      </c>
      <c r="K6" s="19"/>
      <c r="L6" s="5" t="str">
        <f>IF(K6&gt;0,H6-K6,"")</f>
        <v/>
      </c>
      <c r="M6" s="42">
        <v>46210</v>
      </c>
      <c r="N6" s="82">
        <v>6000</v>
      </c>
      <c r="O6" s="5" t="s">
        <v>153</v>
      </c>
    </row>
    <row r="7" spans="2:15" x14ac:dyDescent="0.25">
      <c r="D7" s="175"/>
      <c r="E7" s="136" t="s">
        <v>40</v>
      </c>
      <c r="F7" s="136">
        <v>30</v>
      </c>
      <c r="G7" s="137">
        <v>720</v>
      </c>
      <c r="H7" s="138">
        <v>21600</v>
      </c>
      <c r="I7" s="139">
        <v>21600</v>
      </c>
      <c r="J7" s="82">
        <f t="shared" ref="J7:J8" si="0">IF(AND(H7="",I7=""),"", H7-I7)</f>
        <v>0</v>
      </c>
      <c r="K7" s="19"/>
      <c r="L7" s="5" t="str">
        <f>IF(K7&gt;0,H7-K7,"")</f>
        <v/>
      </c>
      <c r="M7" s="137" t="s">
        <v>136</v>
      </c>
      <c r="N7" s="138">
        <v>16500</v>
      </c>
      <c r="O7" s="5"/>
    </row>
    <row r="8" spans="2:15" x14ac:dyDescent="0.25">
      <c r="D8" s="42" t="s">
        <v>136</v>
      </c>
      <c r="E8" s="5" t="s">
        <v>53</v>
      </c>
      <c r="F8" s="5">
        <v>150</v>
      </c>
      <c r="G8" s="80">
        <v>220</v>
      </c>
      <c r="H8" s="82">
        <v>33000</v>
      </c>
      <c r="I8" s="107">
        <v>10000</v>
      </c>
      <c r="J8" s="82">
        <f t="shared" si="0"/>
        <v>23000</v>
      </c>
      <c r="K8" s="19"/>
      <c r="L8" s="5"/>
      <c r="M8" s="42">
        <v>46061</v>
      </c>
      <c r="N8" s="82">
        <v>10000</v>
      </c>
      <c r="O8" s="5"/>
    </row>
    <row r="9" spans="2:15" x14ac:dyDescent="0.25">
      <c r="G9" s="21" t="s">
        <v>73</v>
      </c>
      <c r="H9" s="74">
        <f>SUM(H6:H8)-SUM(K6:K8)</f>
        <v>68400</v>
      </c>
      <c r="I9" s="131">
        <f>SUM(I6:I8)</f>
        <v>45400</v>
      </c>
      <c r="J9" s="93">
        <f>SUM(J6:J8)</f>
        <v>23000</v>
      </c>
      <c r="K9">
        <f>SUM(K6:K7)</f>
        <v>0</v>
      </c>
      <c r="L9" s="74">
        <f>H9</f>
        <v>68400</v>
      </c>
      <c r="N9" s="130">
        <f>SUM(N6:N8)</f>
        <v>32500</v>
      </c>
    </row>
  </sheetData>
  <mergeCells count="1">
    <mergeCell ref="D6:D7"/>
  </mergeCells>
  <pageMargins left="0.7" right="0.7" top="0.75" bottom="0.75" header="0.511811023622047" footer="0.511811023622047"/>
  <pageSetup paperSize="9" orientation="portrait" horizontalDpi="300" verticalDpi="30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B5:O8"/>
  <sheetViews>
    <sheetView zoomScaleNormal="100" workbookViewId="0">
      <selection activeCell="C5" sqref="B5:C5"/>
    </sheetView>
  </sheetViews>
  <sheetFormatPr defaultColWidth="8.7109375" defaultRowHeight="15" x14ac:dyDescent="0.25"/>
  <cols>
    <col min="2" max="2" width="17.85546875" bestFit="1" customWidth="1"/>
    <col min="4" max="4" width="13" customWidth="1"/>
    <col min="5" max="5" width="17.28515625" customWidth="1"/>
    <col min="7" max="7" width="9.7109375" customWidth="1"/>
    <col min="8" max="8" width="10.28515625" customWidth="1"/>
    <col min="9" max="9" width="12.42578125" customWidth="1"/>
    <col min="10" max="10" width="13.140625" customWidth="1"/>
    <col min="11" max="11" width="12" customWidth="1"/>
    <col min="12" max="12" width="22" customWidth="1"/>
    <col min="13" max="13" width="11.140625" customWidth="1"/>
    <col min="14" max="14" width="14.85546875" customWidth="1"/>
  </cols>
  <sheetData>
    <row r="5" spans="2:15" ht="30" x14ac:dyDescent="0.25">
      <c r="B5" s="14" t="s">
        <v>61</v>
      </c>
      <c r="C5" s="14" t="s">
        <v>110</v>
      </c>
      <c r="D5" s="14" t="s">
        <v>63</v>
      </c>
      <c r="E5" s="14" t="s">
        <v>31</v>
      </c>
      <c r="F5" s="14" t="s">
        <v>64</v>
      </c>
      <c r="G5" s="14" t="s">
        <v>65</v>
      </c>
      <c r="H5" s="14" t="s">
        <v>66</v>
      </c>
      <c r="I5" s="14" t="s">
        <v>3</v>
      </c>
      <c r="J5" s="14" t="s">
        <v>67</v>
      </c>
      <c r="K5" s="14" t="s">
        <v>68</v>
      </c>
      <c r="L5" s="14" t="s">
        <v>69</v>
      </c>
      <c r="M5" s="14" t="s">
        <v>138</v>
      </c>
      <c r="N5" s="14" t="s">
        <v>143</v>
      </c>
      <c r="O5" s="14" t="s">
        <v>139</v>
      </c>
    </row>
    <row r="6" spans="2:15" ht="18.75" x14ac:dyDescent="0.25">
      <c r="B6" s="50" t="s">
        <v>25</v>
      </c>
      <c r="C6" s="48" t="s">
        <v>92</v>
      </c>
      <c r="D6" s="192">
        <v>46149</v>
      </c>
      <c r="E6" s="91" t="s">
        <v>53</v>
      </c>
      <c r="F6" s="84">
        <v>60</v>
      </c>
      <c r="G6" s="83">
        <v>225</v>
      </c>
      <c r="H6" s="86">
        <v>13500</v>
      </c>
      <c r="I6" s="86"/>
      <c r="J6" s="87">
        <v>13500</v>
      </c>
      <c r="K6" s="87"/>
      <c r="L6" s="87"/>
      <c r="M6" s="5"/>
      <c r="N6" s="5"/>
      <c r="O6" s="5"/>
    </row>
    <row r="7" spans="2:15" x14ac:dyDescent="0.25">
      <c r="D7" s="193"/>
      <c r="E7" s="92" t="s">
        <v>40</v>
      </c>
      <c r="F7" s="90">
        <v>6</v>
      </c>
      <c r="G7" s="90">
        <v>720</v>
      </c>
      <c r="H7" s="88">
        <v>4320</v>
      </c>
      <c r="I7" s="88">
        <v>0</v>
      </c>
      <c r="J7" s="88">
        <v>4320</v>
      </c>
      <c r="K7" s="89"/>
      <c r="L7" s="88" t="str">
        <f>IF(K7&gt;0,H7-K7,"")</f>
        <v/>
      </c>
      <c r="M7" s="5"/>
      <c r="N7" s="5"/>
      <c r="O7" s="5"/>
    </row>
    <row r="8" spans="2:15" x14ac:dyDescent="0.25">
      <c r="G8" s="21" t="s">
        <v>73</v>
      </c>
      <c r="H8">
        <f>SUM(H6:H7)-SUM(K6:K7)</f>
        <v>17820</v>
      </c>
      <c r="I8">
        <f>I7</f>
        <v>0</v>
      </c>
      <c r="J8">
        <f>SUM(J6:J7)</f>
        <v>17820</v>
      </c>
      <c r="K8">
        <f>SUM(K7:K7)</f>
        <v>0</v>
      </c>
      <c r="L8">
        <f>H8</f>
        <v>17820</v>
      </c>
    </row>
  </sheetData>
  <mergeCells count="1">
    <mergeCell ref="D6:D7"/>
  </mergeCells>
  <pageMargins left="0.7" right="0.7" top="0.75" bottom="0.75" header="0.511811023622047" footer="0.511811023622047"/>
  <pageSetup paperSize="9" orientation="portrait" horizontalDpi="300" verticalDpi="300"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C5:P7"/>
  <sheetViews>
    <sheetView zoomScale="85" zoomScaleNormal="85" workbookViewId="0">
      <selection activeCell="C5" sqref="C5:D5"/>
    </sheetView>
  </sheetViews>
  <sheetFormatPr defaultColWidth="8.7109375" defaultRowHeight="15" x14ac:dyDescent="0.25"/>
  <cols>
    <col min="5" max="5" width="11.85546875" customWidth="1"/>
    <col min="6" max="6" width="16" customWidth="1"/>
    <col min="12" max="12" width="12" customWidth="1"/>
    <col min="13" max="13" width="14.5703125" customWidth="1"/>
    <col min="14" max="14" width="14.7109375" bestFit="1" customWidth="1"/>
    <col min="15" max="15" width="17.85546875" bestFit="1" customWidth="1"/>
    <col min="16" max="16" width="10.28515625" customWidth="1"/>
  </cols>
  <sheetData>
    <row r="5" spans="3:16" ht="30" x14ac:dyDescent="0.25">
      <c r="C5" s="14" t="s">
        <v>61</v>
      </c>
      <c r="D5" s="14" t="s">
        <v>110</v>
      </c>
      <c r="E5" s="25" t="s">
        <v>63</v>
      </c>
      <c r="F5" s="25" t="s">
        <v>31</v>
      </c>
      <c r="G5" s="25" t="s">
        <v>64</v>
      </c>
      <c r="H5" s="25" t="s">
        <v>65</v>
      </c>
      <c r="I5" s="25" t="s">
        <v>66</v>
      </c>
      <c r="J5" s="25" t="s">
        <v>3</v>
      </c>
      <c r="K5" s="14" t="s">
        <v>67</v>
      </c>
      <c r="L5" s="25" t="s">
        <v>68</v>
      </c>
      <c r="M5" s="25" t="s">
        <v>69</v>
      </c>
      <c r="N5" s="14" t="s">
        <v>138</v>
      </c>
      <c r="O5" s="14" t="s">
        <v>143</v>
      </c>
      <c r="P5" s="14" t="s">
        <v>139</v>
      </c>
    </row>
    <row r="6" spans="3:16" ht="15.75" x14ac:dyDescent="0.25">
      <c r="C6" s="51" t="s">
        <v>26</v>
      </c>
      <c r="D6" s="48" t="s">
        <v>92</v>
      </c>
      <c r="E6" s="52">
        <v>46149</v>
      </c>
      <c r="F6" s="5" t="s">
        <v>53</v>
      </c>
      <c r="G6" s="5">
        <v>60</v>
      </c>
      <c r="H6" s="5">
        <v>225</v>
      </c>
      <c r="I6" s="5">
        <v>13500</v>
      </c>
      <c r="J6" s="5">
        <v>0</v>
      </c>
      <c r="K6" s="5">
        <v>0</v>
      </c>
      <c r="L6" s="19">
        <f>IF(AND(I6="",J6=""), "", I6-J6)</f>
        <v>13500</v>
      </c>
      <c r="M6" s="5">
        <f>IF(L6&gt;0,I6-L6,"")</f>
        <v>0</v>
      </c>
      <c r="N6" s="52">
        <v>46210</v>
      </c>
      <c r="O6" s="5">
        <v>13500</v>
      </c>
      <c r="P6" s="5"/>
    </row>
    <row r="7" spans="3:16" x14ac:dyDescent="0.25">
      <c r="H7" s="29" t="s">
        <v>73</v>
      </c>
      <c r="I7">
        <f>SUM(I6:I6)-SUM(L6:L6)</f>
        <v>0</v>
      </c>
      <c r="J7">
        <v>0</v>
      </c>
      <c r="K7">
        <v>0</v>
      </c>
      <c r="L7">
        <f>SUM(L6:L6)</f>
        <v>13500</v>
      </c>
      <c r="M7">
        <f>I7</f>
        <v>0</v>
      </c>
    </row>
  </sheetData>
  <pageMargins left="0.7" right="0.7" top="0.75" bottom="0.75" header="0.511811023622047" footer="0.511811023622047"/>
  <pageSetup paperSize="9" orientation="portrait" horizontalDpi="300" verticalDpi="30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C5:P10"/>
  <sheetViews>
    <sheetView topLeftCell="B1" zoomScale="85" zoomScaleNormal="85" workbookViewId="0">
      <selection activeCell="C7" sqref="C7:D7"/>
    </sheetView>
  </sheetViews>
  <sheetFormatPr defaultColWidth="8.7109375" defaultRowHeight="15" x14ac:dyDescent="0.25"/>
  <cols>
    <col min="4" max="4" width="6.5703125" customWidth="1"/>
    <col min="5" max="5" width="16" customWidth="1"/>
    <col min="6" max="6" width="30.28515625" customWidth="1"/>
    <col min="7" max="7" width="7.85546875" customWidth="1"/>
    <col min="8" max="8" width="9.7109375" customWidth="1"/>
    <col min="9" max="9" width="11.85546875" customWidth="1"/>
    <col min="10" max="10" width="14" customWidth="1"/>
    <col min="11" max="11" width="11.42578125" customWidth="1"/>
    <col min="12" max="12" width="12" customWidth="1"/>
    <col min="13" max="13" width="22" customWidth="1"/>
    <col min="14" max="14" width="14.7109375" bestFit="1" customWidth="1"/>
    <col min="15" max="15" width="17.85546875" bestFit="1" customWidth="1"/>
    <col min="16" max="16" width="20.85546875" customWidth="1"/>
  </cols>
  <sheetData>
    <row r="5" spans="3:16" ht="18.75" customHeight="1" x14ac:dyDescent="0.25"/>
    <row r="7" spans="3:16" ht="27.75" customHeight="1" x14ac:dyDescent="0.25">
      <c r="C7" s="14" t="s">
        <v>61</v>
      </c>
      <c r="D7" s="14" t="s">
        <v>110</v>
      </c>
      <c r="E7" s="14" t="s">
        <v>63</v>
      </c>
      <c r="F7" s="14" t="s">
        <v>31</v>
      </c>
      <c r="G7" s="14" t="s">
        <v>64</v>
      </c>
      <c r="H7" s="14" t="s">
        <v>65</v>
      </c>
      <c r="I7" s="14" t="s">
        <v>66</v>
      </c>
      <c r="J7" s="14" t="s">
        <v>3</v>
      </c>
      <c r="K7" s="14" t="s">
        <v>67</v>
      </c>
      <c r="L7" s="14" t="s">
        <v>68</v>
      </c>
      <c r="M7" s="14" t="s">
        <v>69</v>
      </c>
      <c r="N7" s="14" t="s">
        <v>138</v>
      </c>
      <c r="O7" s="14" t="s">
        <v>143</v>
      </c>
      <c r="P7" s="14" t="s">
        <v>139</v>
      </c>
    </row>
    <row r="8" spans="3:16" ht="18.75" x14ac:dyDescent="0.25">
      <c r="C8" s="50" t="s">
        <v>27</v>
      </c>
      <c r="D8" s="48" t="s">
        <v>92</v>
      </c>
      <c r="E8" s="40">
        <v>46241</v>
      </c>
      <c r="F8" s="5" t="s">
        <v>40</v>
      </c>
      <c r="G8" s="80">
        <v>30</v>
      </c>
      <c r="H8" s="80">
        <v>700</v>
      </c>
      <c r="I8" s="5">
        <v>21000</v>
      </c>
      <c r="J8" s="5">
        <v>21000</v>
      </c>
      <c r="K8" s="5">
        <v>0</v>
      </c>
      <c r="L8" s="19"/>
      <c r="M8" s="5" t="str">
        <f>IF(L8&gt;0,I8-L8,"")</f>
        <v/>
      </c>
      <c r="N8" s="96">
        <v>46363</v>
      </c>
      <c r="O8" s="108">
        <v>20800</v>
      </c>
      <c r="P8" s="5" t="s">
        <v>167</v>
      </c>
    </row>
    <row r="9" spans="3:16" x14ac:dyDescent="0.25">
      <c r="E9" s="40" t="s">
        <v>135</v>
      </c>
      <c r="F9" s="5" t="s">
        <v>42</v>
      </c>
      <c r="G9" s="80">
        <v>30</v>
      </c>
      <c r="H9" s="80">
        <v>700</v>
      </c>
      <c r="I9" s="5">
        <v>21000</v>
      </c>
      <c r="J9" s="5">
        <v>21000</v>
      </c>
      <c r="K9" s="5">
        <v>0</v>
      </c>
      <c r="L9" s="19">
        <v>0</v>
      </c>
      <c r="M9" s="5"/>
      <c r="N9" s="80" t="s">
        <v>144</v>
      </c>
      <c r="O9" s="100">
        <v>20800</v>
      </c>
      <c r="P9" s="5"/>
    </row>
    <row r="10" spans="3:16" x14ac:dyDescent="0.25">
      <c r="H10" s="21" t="s">
        <v>73</v>
      </c>
      <c r="I10">
        <f>SUM(I8:I9)-SUM(L8:L9)</f>
        <v>42000</v>
      </c>
      <c r="J10">
        <f>SUM(J8:J9)</f>
        <v>42000</v>
      </c>
      <c r="K10" s="77">
        <f>IF(AND(I10="",J10=""), "", I10-J10)</f>
        <v>0</v>
      </c>
      <c r="L10">
        <f>SUM(L8:L8)</f>
        <v>0</v>
      </c>
      <c r="M10">
        <f>I10</f>
        <v>42000</v>
      </c>
      <c r="O10" s="75">
        <f>SUM(O8:O9)</f>
        <v>41600</v>
      </c>
    </row>
  </sheetData>
  <pageMargins left="0.7" right="0.7" top="0.75" bottom="0.75" header="0.511811023622047" footer="0.511811023622047"/>
  <pageSetup paperSize="9" orientation="portrait" horizontalDpi="300" verticalDpi="30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B3:O15"/>
  <sheetViews>
    <sheetView zoomScaleNormal="100" workbookViewId="0">
      <selection activeCell="K18" sqref="K18"/>
    </sheetView>
  </sheetViews>
  <sheetFormatPr defaultColWidth="8.7109375" defaultRowHeight="15" x14ac:dyDescent="0.25"/>
  <cols>
    <col min="2" max="2" width="13.5703125" bestFit="1" customWidth="1"/>
    <col min="3" max="3" width="7.140625" bestFit="1" customWidth="1"/>
    <col min="4" max="4" width="10.85546875" bestFit="1" customWidth="1"/>
    <col min="5" max="5" width="14.5703125" bestFit="1" customWidth="1"/>
    <col min="6" max="6" width="4.85546875" bestFit="1" customWidth="1"/>
    <col min="7" max="7" width="10" bestFit="1" customWidth="1"/>
    <col min="8" max="8" width="12.7109375" style="74" customWidth="1"/>
    <col min="9" max="9" width="13.28515625" style="74" customWidth="1"/>
    <col min="10" max="10" width="13.85546875" style="74" customWidth="1"/>
    <col min="11" max="11" width="12" customWidth="1"/>
    <col min="12" max="12" width="22" customWidth="1"/>
    <col min="13" max="13" width="11" style="46" customWidth="1"/>
    <col min="14" max="14" width="12.28515625" customWidth="1"/>
    <col min="15" max="15" width="23.5703125" bestFit="1" customWidth="1"/>
  </cols>
  <sheetData>
    <row r="3" spans="2:15" ht="27.75" customHeight="1" x14ac:dyDescent="0.25">
      <c r="B3" s="152" t="s">
        <v>61</v>
      </c>
      <c r="C3" s="152" t="s">
        <v>110</v>
      </c>
      <c r="D3" s="154" t="s">
        <v>63</v>
      </c>
      <c r="E3" s="154" t="s">
        <v>31</v>
      </c>
      <c r="F3" s="154" t="s">
        <v>64</v>
      </c>
      <c r="G3" s="154" t="s">
        <v>65</v>
      </c>
      <c r="H3" s="153" t="s">
        <v>66</v>
      </c>
      <c r="I3" s="154" t="s">
        <v>3</v>
      </c>
      <c r="J3" s="154" t="s">
        <v>67</v>
      </c>
      <c r="K3" s="154" t="s">
        <v>68</v>
      </c>
      <c r="L3" s="154" t="s">
        <v>69</v>
      </c>
      <c r="M3" s="14" t="s">
        <v>138</v>
      </c>
      <c r="N3" s="14" t="s">
        <v>143</v>
      </c>
      <c r="O3" s="14" t="s">
        <v>139</v>
      </c>
    </row>
    <row r="4" spans="2:15" ht="18.75" customHeight="1" x14ac:dyDescent="0.25">
      <c r="B4" s="194" t="s">
        <v>28</v>
      </c>
      <c r="C4" s="49" t="s">
        <v>92</v>
      </c>
      <c r="D4" s="52">
        <v>46363</v>
      </c>
      <c r="E4" s="5" t="s">
        <v>53</v>
      </c>
      <c r="F4" s="5">
        <v>150</v>
      </c>
      <c r="G4" s="80">
        <v>200</v>
      </c>
      <c r="H4" s="101">
        <v>30000</v>
      </c>
      <c r="I4" s="82">
        <v>30000</v>
      </c>
      <c r="J4" s="82">
        <v>0</v>
      </c>
      <c r="K4" s="19"/>
      <c r="L4" s="5" t="str">
        <f>IF(K4&gt;0,H4-K4,"")</f>
        <v/>
      </c>
      <c r="M4" s="132">
        <v>46363</v>
      </c>
      <c r="N4" s="95">
        <v>30000</v>
      </c>
      <c r="O4" s="5"/>
    </row>
    <row r="5" spans="2:15" x14ac:dyDescent="0.25">
      <c r="B5" s="195"/>
      <c r="D5" s="53" t="s">
        <v>106</v>
      </c>
      <c r="E5" s="5" t="s">
        <v>53</v>
      </c>
      <c r="F5" s="5">
        <v>300</v>
      </c>
      <c r="G5" s="80">
        <v>200</v>
      </c>
      <c r="H5" s="101">
        <v>63000</v>
      </c>
      <c r="I5" s="82">
        <v>30000</v>
      </c>
      <c r="J5" s="82">
        <f>IF(AND(H5="", I5=""), "", H5-I5)</f>
        <v>33000</v>
      </c>
      <c r="K5" s="19"/>
      <c r="L5" s="5" t="str">
        <f>IF(K5&gt;0,H5-K5,"")</f>
        <v/>
      </c>
      <c r="M5" s="53">
        <v>46030</v>
      </c>
      <c r="N5" s="97">
        <v>30000</v>
      </c>
      <c r="O5" s="5"/>
    </row>
    <row r="6" spans="2:15" x14ac:dyDescent="0.25">
      <c r="B6" s="195"/>
      <c r="D6" s="52"/>
      <c r="E6" s="5"/>
      <c r="F6" s="5"/>
      <c r="G6" s="80"/>
      <c r="H6" s="101"/>
      <c r="I6" s="82"/>
      <c r="J6" s="82"/>
      <c r="K6" s="19"/>
      <c r="L6" s="5"/>
      <c r="M6" s="133"/>
      <c r="N6" s="82"/>
      <c r="O6" s="5"/>
    </row>
    <row r="7" spans="2:15" x14ac:dyDescent="0.25">
      <c r="B7" s="195"/>
      <c r="D7" s="5"/>
      <c r="E7" s="5"/>
      <c r="F7" s="5"/>
      <c r="G7" s="80"/>
      <c r="H7" s="101"/>
      <c r="I7" s="82"/>
      <c r="J7" s="82"/>
      <c r="K7" s="5"/>
      <c r="L7" s="5"/>
      <c r="M7" s="41"/>
      <c r="N7" s="5"/>
      <c r="O7" s="5"/>
    </row>
    <row r="8" spans="2:15" x14ac:dyDescent="0.25">
      <c r="D8" s="20"/>
      <c r="G8" s="78" t="s">
        <v>73</v>
      </c>
      <c r="H8" s="74">
        <f>SUM(H4:H6)-SUM(K4:K6)</f>
        <v>93000</v>
      </c>
      <c r="I8" s="74">
        <f>SUM(I4:I6)</f>
        <v>60000</v>
      </c>
      <c r="J8" s="135">
        <f>SUM(J4:J6)</f>
        <v>33000</v>
      </c>
      <c r="K8">
        <f>SUM(K4:K6)</f>
        <v>0</v>
      </c>
      <c r="L8" s="74">
        <f>H8</f>
        <v>93000</v>
      </c>
      <c r="M8" s="79" t="s">
        <v>73</v>
      </c>
      <c r="N8" s="75">
        <f>SUM(N4:N7)</f>
        <v>60000</v>
      </c>
    </row>
    <row r="12" spans="2:15" ht="30" x14ac:dyDescent="0.25">
      <c r="C12" s="152" t="s">
        <v>110</v>
      </c>
      <c r="D12" s="154" t="s">
        <v>63</v>
      </c>
      <c r="E12" s="154" t="s">
        <v>31</v>
      </c>
      <c r="F12" s="154" t="s">
        <v>64</v>
      </c>
      <c r="G12" s="154" t="s">
        <v>65</v>
      </c>
      <c r="H12" s="154" t="s">
        <v>66</v>
      </c>
      <c r="I12" s="154" t="s">
        <v>3</v>
      </c>
      <c r="J12" s="154" t="s">
        <v>67</v>
      </c>
      <c r="K12" s="154" t="s">
        <v>68</v>
      </c>
      <c r="L12" s="154" t="s">
        <v>69</v>
      </c>
      <c r="M12" s="14" t="s">
        <v>138</v>
      </c>
      <c r="N12" s="14" t="s">
        <v>143</v>
      </c>
      <c r="O12" s="14" t="s">
        <v>139</v>
      </c>
    </row>
    <row r="13" spans="2:15" x14ac:dyDescent="0.25">
      <c r="C13" s="49" t="s">
        <v>137</v>
      </c>
      <c r="D13" s="52">
        <v>46089</v>
      </c>
      <c r="E13" s="5" t="s">
        <v>53</v>
      </c>
      <c r="F13" s="5">
        <v>150</v>
      </c>
      <c r="G13" s="5">
        <v>210</v>
      </c>
      <c r="H13" s="82">
        <v>31500</v>
      </c>
      <c r="I13" s="82">
        <v>30000</v>
      </c>
      <c r="J13" s="82">
        <v>1500</v>
      </c>
      <c r="K13" s="5">
        <v>0</v>
      </c>
      <c r="L13" s="5"/>
      <c r="M13" s="133">
        <v>46181</v>
      </c>
      <c r="N13" s="82">
        <v>31500</v>
      </c>
      <c r="O13" s="144" t="s">
        <v>170</v>
      </c>
    </row>
    <row r="14" spans="2:15" x14ac:dyDescent="0.25">
      <c r="D14" s="5"/>
      <c r="E14" s="5"/>
      <c r="F14" s="5"/>
      <c r="G14" s="5"/>
      <c r="H14" s="82"/>
      <c r="I14" s="82"/>
      <c r="J14" s="82"/>
      <c r="K14" s="5"/>
      <c r="L14" s="5"/>
      <c r="M14" s="41"/>
      <c r="N14" s="5"/>
      <c r="O14" s="5"/>
    </row>
    <row r="15" spans="2:15" x14ac:dyDescent="0.25">
      <c r="G15" s="79" t="s">
        <v>73</v>
      </c>
      <c r="H15" s="74">
        <f>SUM(H13)-SUM(K13)</f>
        <v>31500</v>
      </c>
      <c r="I15" s="74">
        <f>SUM(I13:I14)</f>
        <v>30000</v>
      </c>
      <c r="J15" s="135">
        <f>SUM(J13:J14)</f>
        <v>1500</v>
      </c>
      <c r="M15" s="79" t="s">
        <v>73</v>
      </c>
      <c r="N15" s="75">
        <f>SUM(N13:N14)</f>
        <v>31500</v>
      </c>
    </row>
  </sheetData>
  <mergeCells count="1">
    <mergeCell ref="B4:B7"/>
  </mergeCells>
  <pageMargins left="0.7" right="0.7" top="0.75" bottom="0.75" header="0.511811023622047" footer="0.511811023622047"/>
  <pageSetup paperSize="9" orientation="portrait" horizontalDpi="300" verticalDpi="30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B3:O7"/>
  <sheetViews>
    <sheetView zoomScaleNormal="100" workbookViewId="0">
      <selection activeCell="C6" sqref="C6"/>
    </sheetView>
  </sheetViews>
  <sheetFormatPr defaultColWidth="8.7109375" defaultRowHeight="15" x14ac:dyDescent="0.25"/>
  <cols>
    <col min="5" max="5" width="15.140625" customWidth="1"/>
    <col min="6" max="6" width="31.42578125" bestFit="1" customWidth="1"/>
    <col min="7" max="7" width="12.5703125" customWidth="1"/>
    <col min="8" max="8" width="13.42578125" customWidth="1"/>
    <col min="9" max="9" width="12.5703125" style="74" customWidth="1"/>
    <col min="10" max="10" width="13.28515625" style="74" customWidth="1"/>
    <col min="11" max="11" width="13.5703125" customWidth="1"/>
    <col min="12" max="12" width="12" customWidth="1"/>
    <col min="13" max="13" width="22" style="74" customWidth="1"/>
    <col min="14" max="14" width="10.7109375" customWidth="1"/>
    <col min="15" max="15" width="30.140625" customWidth="1"/>
  </cols>
  <sheetData>
    <row r="3" spans="2:15" ht="27.75" customHeight="1" x14ac:dyDescent="0.25">
      <c r="E3" s="14" t="s">
        <v>61</v>
      </c>
    </row>
    <row r="5" spans="2:15" ht="30" customHeight="1" x14ac:dyDescent="0.25">
      <c r="B5" s="152" t="s">
        <v>61</v>
      </c>
      <c r="C5" s="152" t="s">
        <v>110</v>
      </c>
      <c r="D5" s="154" t="s">
        <v>63</v>
      </c>
      <c r="E5" s="154" t="s">
        <v>31</v>
      </c>
      <c r="F5" s="154" t="s">
        <v>64</v>
      </c>
      <c r="G5" s="154" t="s">
        <v>65</v>
      </c>
      <c r="H5" s="154" t="s">
        <v>66</v>
      </c>
      <c r="I5" s="154" t="s">
        <v>3</v>
      </c>
      <c r="J5" s="154" t="s">
        <v>67</v>
      </c>
      <c r="K5" s="154" t="s">
        <v>68</v>
      </c>
      <c r="L5" s="154" t="s">
        <v>69</v>
      </c>
      <c r="M5" s="14" t="s">
        <v>138</v>
      </c>
      <c r="N5" s="14" t="s">
        <v>143</v>
      </c>
      <c r="O5" s="14" t="s">
        <v>139</v>
      </c>
    </row>
    <row r="6" spans="2:15" x14ac:dyDescent="0.25">
      <c r="B6" s="54" t="s">
        <v>165</v>
      </c>
      <c r="C6" s="48" t="s">
        <v>92</v>
      </c>
      <c r="D6" s="98">
        <v>46180</v>
      </c>
      <c r="E6" s="7" t="s">
        <v>55</v>
      </c>
      <c r="F6" s="7">
        <v>250</v>
      </c>
      <c r="G6" s="7">
        <v>60</v>
      </c>
      <c r="H6" s="134">
        <v>15000</v>
      </c>
      <c r="I6" s="134">
        <v>15000</v>
      </c>
      <c r="J6" s="7">
        <v>0</v>
      </c>
      <c r="K6" s="56"/>
      <c r="L6" s="134" t="str">
        <f>IF(K6&gt;0,H6-K6,"")</f>
        <v/>
      </c>
      <c r="M6" s="52">
        <v>46363</v>
      </c>
      <c r="N6" s="82">
        <v>15000</v>
      </c>
      <c r="O6" s="5" t="s">
        <v>166</v>
      </c>
    </row>
    <row r="7" spans="2:15" x14ac:dyDescent="0.25">
      <c r="G7" s="21" t="s">
        <v>73</v>
      </c>
      <c r="H7" s="74">
        <f>SUM(H6:H6)-SUM(K6:K6)</f>
        <v>15000</v>
      </c>
      <c r="I7" s="74">
        <f>I6</f>
        <v>15000</v>
      </c>
      <c r="J7" s="57">
        <v>0</v>
      </c>
      <c r="K7">
        <f>SUM(K6:K6)</f>
        <v>0</v>
      </c>
      <c r="L7" s="74">
        <f>H7</f>
        <v>15000</v>
      </c>
      <c r="M7" t="s">
        <v>73</v>
      </c>
      <c r="N7" s="75">
        <f>SUM(N6)</f>
        <v>15000</v>
      </c>
    </row>
  </sheetData>
  <pageMargins left="0.7" right="0.7" top="0.75" bottom="0.75" header="0.511811023622047" footer="0.511811023622047"/>
  <pageSetup paperSize="9" orientation="portrait" horizontalDpi="300" verticalDpi="30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E4:S17"/>
  <sheetViews>
    <sheetView topLeftCell="C1" zoomScale="85" zoomScaleNormal="85" workbookViewId="0">
      <selection activeCell="E4" sqref="E4:S6"/>
    </sheetView>
  </sheetViews>
  <sheetFormatPr defaultColWidth="8.7109375" defaultRowHeight="15" x14ac:dyDescent="0.25"/>
  <cols>
    <col min="5" max="5" width="17.140625" customWidth="1"/>
    <col min="6" max="6" width="21.28515625" customWidth="1"/>
    <col min="7" max="7" width="9.140625" customWidth="1"/>
    <col min="8" max="8" width="10.5703125" customWidth="1"/>
    <col min="9" max="9" width="10.140625" customWidth="1"/>
    <col min="10" max="10" width="8" customWidth="1"/>
    <col min="11" max="11" width="13.7109375" customWidth="1"/>
    <col min="12" max="12" width="9.85546875" style="46" customWidth="1"/>
    <col min="13" max="13" width="11.5703125" bestFit="1" customWidth="1"/>
    <col min="14" max="14" width="16" customWidth="1"/>
    <col min="15" max="15" width="12" customWidth="1"/>
    <col min="16" max="16" width="22" customWidth="1"/>
    <col min="17" max="17" width="10.28515625" customWidth="1"/>
    <col min="18" max="18" width="13.140625" customWidth="1"/>
    <col min="19" max="19" width="13.5703125" customWidth="1"/>
  </cols>
  <sheetData>
    <row r="4" spans="5:19" ht="18.75" customHeight="1" x14ac:dyDescent="0.25">
      <c r="E4" s="14" t="s">
        <v>61</v>
      </c>
      <c r="F4" s="58" t="s">
        <v>29</v>
      </c>
    </row>
    <row r="5" spans="5:19" x14ac:dyDescent="0.25">
      <c r="E5" s="49" t="s">
        <v>77</v>
      </c>
    </row>
    <row r="6" spans="5:19" ht="60" x14ac:dyDescent="0.25">
      <c r="E6" s="55" t="s">
        <v>63</v>
      </c>
      <c r="F6" s="55" t="s">
        <v>31</v>
      </c>
      <c r="G6" s="55" t="s">
        <v>64</v>
      </c>
      <c r="H6" s="55" t="s">
        <v>65</v>
      </c>
      <c r="I6" s="55" t="s">
        <v>130</v>
      </c>
      <c r="J6" s="55" t="s">
        <v>131</v>
      </c>
      <c r="K6" s="55" t="s">
        <v>132</v>
      </c>
      <c r="L6" s="55" t="s">
        <v>133</v>
      </c>
      <c r="M6" s="55" t="s">
        <v>3</v>
      </c>
      <c r="N6" s="55" t="s">
        <v>67</v>
      </c>
      <c r="O6" s="59" t="s">
        <v>68</v>
      </c>
      <c r="P6" s="59" t="s">
        <v>69</v>
      </c>
      <c r="Q6" s="14" t="s">
        <v>138</v>
      </c>
      <c r="R6" s="14" t="s">
        <v>143</v>
      </c>
      <c r="S6" s="14" t="s">
        <v>139</v>
      </c>
    </row>
    <row r="7" spans="5:19" x14ac:dyDescent="0.25">
      <c r="E7" s="175">
        <v>46209</v>
      </c>
      <c r="F7" s="60" t="s">
        <v>48</v>
      </c>
      <c r="G7" s="61">
        <v>150</v>
      </c>
      <c r="H7" s="61">
        <v>620</v>
      </c>
      <c r="I7" s="61">
        <f>H7*7.5%</f>
        <v>46.5</v>
      </c>
      <c r="J7" s="61">
        <f>H7*7%</f>
        <v>43.400000000000006</v>
      </c>
      <c r="K7" s="61">
        <f>G7*H7</f>
        <v>93000</v>
      </c>
      <c r="L7" s="61">
        <f>G7*SUM(H7:J7)</f>
        <v>106485</v>
      </c>
      <c r="M7" s="61"/>
      <c r="N7" s="62">
        <v>0</v>
      </c>
      <c r="O7" s="63"/>
      <c r="P7" s="64" t="str">
        <f t="shared" ref="P7:P16" si="0">IF(O7&gt;0,L7-O7,"")</f>
        <v/>
      </c>
      <c r="Q7" s="5"/>
      <c r="R7" s="82"/>
      <c r="S7" s="5"/>
    </row>
    <row r="8" spans="5:19" x14ac:dyDescent="0.25">
      <c r="E8" s="175"/>
      <c r="F8" s="5" t="s">
        <v>36</v>
      </c>
      <c r="G8" s="5">
        <v>538</v>
      </c>
      <c r="H8" s="61">
        <v>620</v>
      </c>
      <c r="I8" s="61">
        <f t="shared" ref="I8:I16" si="1">H8*7.5%</f>
        <v>46.5</v>
      </c>
      <c r="J8" s="61">
        <f t="shared" ref="J8:J16" si="2">H8*7%</f>
        <v>43.400000000000006</v>
      </c>
      <c r="K8" s="61">
        <f t="shared" ref="K8:K16" si="3">G8*H8</f>
        <v>333560</v>
      </c>
      <c r="L8" s="61">
        <f t="shared" ref="L8:L16" si="4">G8*SUM(H8:J8)</f>
        <v>381926.2</v>
      </c>
      <c r="M8" s="5"/>
      <c r="N8" s="5">
        <v>0</v>
      </c>
      <c r="O8" s="63"/>
      <c r="P8" s="64" t="str">
        <f t="shared" si="0"/>
        <v/>
      </c>
      <c r="Q8" s="5"/>
      <c r="R8" s="82"/>
      <c r="S8" s="5"/>
    </row>
    <row r="9" spans="5:19" x14ac:dyDescent="0.25">
      <c r="E9" s="40">
        <v>46240</v>
      </c>
      <c r="F9" s="5" t="s">
        <v>36</v>
      </c>
      <c r="G9" s="5">
        <v>598</v>
      </c>
      <c r="H9" s="61">
        <v>620</v>
      </c>
      <c r="I9" s="61">
        <f t="shared" si="1"/>
        <v>46.5</v>
      </c>
      <c r="J9" s="61">
        <f t="shared" si="2"/>
        <v>43.400000000000006</v>
      </c>
      <c r="K9" s="61">
        <f t="shared" si="3"/>
        <v>370760</v>
      </c>
      <c r="L9" s="61">
        <f t="shared" si="4"/>
        <v>424520.2</v>
      </c>
      <c r="M9" s="5"/>
      <c r="N9" s="5">
        <v>0</v>
      </c>
      <c r="O9" s="63"/>
      <c r="P9" s="64" t="str">
        <f t="shared" si="0"/>
        <v/>
      </c>
      <c r="Q9" s="52">
        <v>46240</v>
      </c>
      <c r="R9" s="82">
        <v>500000</v>
      </c>
      <c r="S9" s="5"/>
    </row>
    <row r="10" spans="5:19" x14ac:dyDescent="0.25">
      <c r="E10" s="175">
        <v>46332</v>
      </c>
      <c r="F10" s="5" t="s">
        <v>38</v>
      </c>
      <c r="G10" s="5">
        <v>570</v>
      </c>
      <c r="H10" s="61">
        <v>620</v>
      </c>
      <c r="I10" s="61">
        <f t="shared" si="1"/>
        <v>46.5</v>
      </c>
      <c r="J10" s="61">
        <f t="shared" si="2"/>
        <v>43.400000000000006</v>
      </c>
      <c r="K10" s="61">
        <f t="shared" si="3"/>
        <v>353400</v>
      </c>
      <c r="L10" s="61">
        <f t="shared" si="4"/>
        <v>404643</v>
      </c>
      <c r="M10" s="5"/>
      <c r="N10" s="5">
        <v>0</v>
      </c>
      <c r="O10" s="63"/>
      <c r="P10" s="64" t="str">
        <f t="shared" si="0"/>
        <v/>
      </c>
      <c r="Q10" s="5"/>
      <c r="R10" s="82"/>
      <c r="S10" s="5"/>
    </row>
    <row r="11" spans="5:19" x14ac:dyDescent="0.25">
      <c r="E11" s="175"/>
      <c r="F11" s="5" t="s">
        <v>107</v>
      </c>
      <c r="G11" s="5">
        <v>30</v>
      </c>
      <c r="H11" s="61">
        <v>620</v>
      </c>
      <c r="I11" s="61">
        <f>H12*7.5%</f>
        <v>46.5</v>
      </c>
      <c r="J11" s="61">
        <f>H12*7%</f>
        <v>43.400000000000006</v>
      </c>
      <c r="K11" s="61">
        <f>G11*H12</f>
        <v>18600</v>
      </c>
      <c r="L11" s="61">
        <f t="shared" si="4"/>
        <v>21297</v>
      </c>
      <c r="M11" s="5"/>
      <c r="N11" s="5">
        <v>0</v>
      </c>
      <c r="O11" s="63"/>
      <c r="P11" s="64" t="str">
        <f t="shared" si="0"/>
        <v/>
      </c>
      <c r="Q11" s="5"/>
      <c r="R11" s="82"/>
      <c r="S11" s="5"/>
    </row>
    <row r="12" spans="5:19" x14ac:dyDescent="0.25">
      <c r="E12" s="178" t="s">
        <v>99</v>
      </c>
      <c r="F12" s="5" t="s">
        <v>40</v>
      </c>
      <c r="G12" s="5">
        <v>360</v>
      </c>
      <c r="H12" s="61">
        <v>620</v>
      </c>
      <c r="I12" s="61">
        <f t="shared" ref="I12:I13" si="5">H13*7.5%</f>
        <v>46.5</v>
      </c>
      <c r="J12" s="61">
        <f t="shared" ref="J12:J13" si="6">H13*7%</f>
        <v>43.400000000000006</v>
      </c>
      <c r="K12" s="61">
        <f t="shared" ref="K12:K13" si="7">G12*H13</f>
        <v>223200</v>
      </c>
      <c r="L12" s="61">
        <f t="shared" si="4"/>
        <v>255564</v>
      </c>
      <c r="M12" s="5"/>
      <c r="N12" s="5"/>
      <c r="O12" s="63"/>
      <c r="P12" s="64"/>
      <c r="Q12" s="5"/>
      <c r="R12" s="82"/>
      <c r="S12" s="5"/>
    </row>
    <row r="13" spans="5:19" x14ac:dyDescent="0.25">
      <c r="E13" s="179"/>
      <c r="F13" s="5" t="s">
        <v>42</v>
      </c>
      <c r="G13" s="5">
        <v>180</v>
      </c>
      <c r="H13" s="61">
        <v>620</v>
      </c>
      <c r="I13" s="61">
        <f t="shared" si="5"/>
        <v>46.5</v>
      </c>
      <c r="J13" s="61">
        <f t="shared" si="6"/>
        <v>43.400000000000006</v>
      </c>
      <c r="K13" s="61">
        <f t="shared" si="7"/>
        <v>111600</v>
      </c>
      <c r="L13" s="61">
        <f t="shared" si="4"/>
        <v>127782</v>
      </c>
      <c r="M13" s="5"/>
      <c r="N13" s="5"/>
      <c r="O13" s="63"/>
      <c r="P13" s="64"/>
      <c r="Q13" s="5"/>
      <c r="R13" s="82"/>
      <c r="S13" s="5"/>
    </row>
    <row r="14" spans="5:19" x14ac:dyDescent="0.25">
      <c r="E14" s="169"/>
      <c r="F14" s="5" t="s">
        <v>44</v>
      </c>
      <c r="G14" s="5">
        <v>120</v>
      </c>
      <c r="H14" s="61">
        <v>620</v>
      </c>
      <c r="I14" s="61">
        <f t="shared" si="1"/>
        <v>46.5</v>
      </c>
      <c r="J14" s="61">
        <f t="shared" si="2"/>
        <v>43.400000000000006</v>
      </c>
      <c r="K14" s="61">
        <f t="shared" si="3"/>
        <v>74400</v>
      </c>
      <c r="L14" s="61">
        <f t="shared" si="4"/>
        <v>85188</v>
      </c>
      <c r="M14" s="5"/>
      <c r="N14" s="5">
        <v>0</v>
      </c>
      <c r="O14" s="63"/>
      <c r="P14" s="64" t="str">
        <f t="shared" si="0"/>
        <v/>
      </c>
      <c r="Q14" s="5"/>
      <c r="R14" s="82"/>
      <c r="S14" s="5"/>
    </row>
    <row r="15" spans="5:19" x14ac:dyDescent="0.25">
      <c r="E15" s="76"/>
      <c r="F15" s="65" t="s">
        <v>48</v>
      </c>
      <c r="G15" s="5">
        <v>90</v>
      </c>
      <c r="H15" s="61">
        <v>620</v>
      </c>
      <c r="I15" s="61">
        <f t="shared" si="1"/>
        <v>46.5</v>
      </c>
      <c r="J15" s="61">
        <f t="shared" si="2"/>
        <v>43.400000000000006</v>
      </c>
      <c r="K15" s="61">
        <f t="shared" si="3"/>
        <v>55800</v>
      </c>
      <c r="L15" s="61">
        <f t="shared" si="4"/>
        <v>63891</v>
      </c>
      <c r="M15" s="5"/>
      <c r="N15" s="5"/>
      <c r="O15" s="63"/>
      <c r="P15" s="64"/>
      <c r="Q15" s="5"/>
      <c r="R15" s="82"/>
      <c r="S15" s="5"/>
    </row>
    <row r="16" spans="5:19" x14ac:dyDescent="0.25">
      <c r="E16" s="22" t="s">
        <v>108</v>
      </c>
      <c r="F16" s="65" t="s">
        <v>50</v>
      </c>
      <c r="G16" s="5">
        <v>210</v>
      </c>
      <c r="H16" s="61">
        <v>620</v>
      </c>
      <c r="I16" s="61">
        <f t="shared" si="1"/>
        <v>46.5</v>
      </c>
      <c r="J16" s="61">
        <f t="shared" si="2"/>
        <v>43.400000000000006</v>
      </c>
      <c r="K16" s="61">
        <f t="shared" si="3"/>
        <v>130200</v>
      </c>
      <c r="L16" s="61">
        <f t="shared" si="4"/>
        <v>149079</v>
      </c>
      <c r="M16" s="5"/>
      <c r="N16" s="5">
        <v>0</v>
      </c>
      <c r="O16" s="66"/>
      <c r="P16" s="41" t="str">
        <f t="shared" si="0"/>
        <v/>
      </c>
      <c r="Q16" s="5"/>
      <c r="R16" s="82"/>
      <c r="S16" s="5"/>
    </row>
    <row r="17" spans="7:16" x14ac:dyDescent="0.25">
      <c r="G17">
        <f>SUM(G7:G16)</f>
        <v>2846</v>
      </c>
      <c r="J17" s="78" t="s">
        <v>73</v>
      </c>
      <c r="K17" s="21">
        <f>SUM(K7:K16)</f>
        <v>1764520</v>
      </c>
      <c r="M17" s="74">
        <v>500000</v>
      </c>
      <c r="N17" s="75">
        <f>K17-M17</f>
        <v>1264520</v>
      </c>
      <c r="O17" s="46">
        <f>SUM(O7:O16)</f>
        <v>0</v>
      </c>
      <c r="P17" s="46">
        <f>L17</f>
        <v>0</v>
      </c>
    </row>
  </sheetData>
  <mergeCells count="3">
    <mergeCell ref="E7:E8"/>
    <mergeCell ref="E10:E11"/>
    <mergeCell ref="E12:E14"/>
  </mergeCells>
  <pageMargins left="0.7" right="0.7" top="0.75" bottom="0.75" header="0.511811023622047" footer="0.511811023622047"/>
  <pageSetup orientation="portrait" horizontalDpi="300" verticalDpi="30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B2:O6"/>
  <sheetViews>
    <sheetView workbookViewId="0">
      <selection activeCell="C5" sqref="C5"/>
    </sheetView>
  </sheetViews>
  <sheetFormatPr defaultRowHeight="15" x14ac:dyDescent="0.25"/>
  <cols>
    <col min="2" max="2" width="16.140625" bestFit="1" customWidth="1"/>
    <col min="3" max="3" width="8.140625" customWidth="1"/>
    <col min="4" max="4" width="10.85546875" bestFit="1" customWidth="1"/>
    <col min="5" max="5" width="14.5703125" bestFit="1" customWidth="1"/>
    <col min="7" max="7" width="10" bestFit="1" customWidth="1"/>
    <col min="8" max="8" width="11.42578125" bestFit="1" customWidth="1"/>
    <col min="9" max="9" width="12.7109375" bestFit="1" customWidth="1"/>
    <col min="10" max="10" width="14.140625" bestFit="1" customWidth="1"/>
    <col min="12" max="12" width="27.85546875" bestFit="1" customWidth="1"/>
    <col min="13" max="13" width="10.7109375" customWidth="1"/>
    <col min="14" max="14" width="12.140625" customWidth="1"/>
    <col min="15" max="15" width="8.85546875" bestFit="1" customWidth="1"/>
  </cols>
  <sheetData>
    <row r="2" spans="2:15" x14ac:dyDescent="0.25">
      <c r="I2" s="46"/>
    </row>
    <row r="3" spans="2:15" ht="30" x14ac:dyDescent="0.25">
      <c r="B3" s="152" t="s">
        <v>61</v>
      </c>
      <c r="C3" s="152" t="s">
        <v>110</v>
      </c>
      <c r="D3" s="154" t="s">
        <v>63</v>
      </c>
      <c r="E3" s="154" t="s">
        <v>31</v>
      </c>
      <c r="F3" s="154" t="s">
        <v>64</v>
      </c>
      <c r="G3" s="154" t="s">
        <v>65</v>
      </c>
      <c r="H3" s="154" t="s">
        <v>66</v>
      </c>
      <c r="I3" s="154" t="s">
        <v>3</v>
      </c>
      <c r="J3" s="154" t="s">
        <v>67</v>
      </c>
      <c r="K3" s="154" t="s">
        <v>68</v>
      </c>
      <c r="L3" s="154" t="s">
        <v>69</v>
      </c>
      <c r="M3" s="14" t="s">
        <v>138</v>
      </c>
      <c r="N3" s="14" t="s">
        <v>143</v>
      </c>
      <c r="O3" s="14" t="s">
        <v>139</v>
      </c>
    </row>
    <row r="4" spans="2:15" ht="18.75" x14ac:dyDescent="0.25">
      <c r="B4" s="58" t="s">
        <v>171</v>
      </c>
      <c r="C4" s="48" t="s">
        <v>137</v>
      </c>
      <c r="D4" s="52">
        <v>46089</v>
      </c>
      <c r="E4" s="5" t="s">
        <v>53</v>
      </c>
      <c r="F4" s="149">
        <v>150</v>
      </c>
      <c r="G4" s="5">
        <v>210</v>
      </c>
      <c r="H4" s="149">
        <v>31500</v>
      </c>
      <c r="I4" s="5">
        <v>0</v>
      </c>
      <c r="J4" s="5"/>
      <c r="K4" s="5"/>
      <c r="L4" s="5"/>
      <c r="M4" s="5"/>
      <c r="N4" s="5"/>
      <c r="O4" s="5"/>
    </row>
    <row r="5" spans="2:15" x14ac:dyDescent="0.25">
      <c r="D5" s="20"/>
      <c r="E5" t="s">
        <v>73</v>
      </c>
      <c r="F5" s="148">
        <v>31500</v>
      </c>
      <c r="J5" s="148">
        <v>31500</v>
      </c>
    </row>
    <row r="6" spans="2:15" x14ac:dyDescent="0.25">
      <c r="H6" s="148"/>
      <c r="L6" s="148"/>
    </row>
  </sheetData>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5:O7"/>
  <sheetViews>
    <sheetView workbookViewId="0">
      <selection activeCell="B5" sqref="B5:O5"/>
    </sheetView>
  </sheetViews>
  <sheetFormatPr defaultRowHeight="15" x14ac:dyDescent="0.25"/>
  <cols>
    <col min="2" max="2" width="22.5703125" bestFit="1" customWidth="1"/>
    <col min="3" max="3" width="8.42578125" customWidth="1"/>
    <col min="4" max="4" width="10.85546875" bestFit="1" customWidth="1"/>
    <col min="7" max="7" width="10" bestFit="1" customWidth="1"/>
    <col min="8" max="8" width="11.42578125" bestFit="1" customWidth="1"/>
    <col min="9" max="9" width="12.7109375" bestFit="1" customWidth="1"/>
    <col min="10" max="10" width="14.140625" bestFit="1" customWidth="1"/>
    <col min="12" max="12" width="27.85546875" bestFit="1" customWidth="1"/>
    <col min="13" max="13" width="10.28515625" customWidth="1"/>
    <col min="14" max="14" width="10" customWidth="1"/>
    <col min="15" max="15" width="11.5703125" customWidth="1"/>
  </cols>
  <sheetData>
    <row r="5" spans="1:15" ht="30" x14ac:dyDescent="0.25">
      <c r="A5" s="150"/>
      <c r="B5" s="152" t="s">
        <v>61</v>
      </c>
      <c r="C5" s="152" t="s">
        <v>110</v>
      </c>
      <c r="D5" s="154" t="s">
        <v>63</v>
      </c>
      <c r="E5" s="154" t="s">
        <v>31</v>
      </c>
      <c r="F5" s="154" t="s">
        <v>64</v>
      </c>
      <c r="G5" s="154" t="s">
        <v>65</v>
      </c>
      <c r="H5" s="154" t="s">
        <v>66</v>
      </c>
      <c r="I5" s="154" t="s">
        <v>3</v>
      </c>
      <c r="J5" s="154" t="s">
        <v>67</v>
      </c>
      <c r="K5" s="154" t="s">
        <v>68</v>
      </c>
      <c r="L5" s="154" t="s">
        <v>69</v>
      </c>
      <c r="M5" s="14" t="s">
        <v>138</v>
      </c>
      <c r="N5" s="14" t="s">
        <v>143</v>
      </c>
      <c r="O5" s="14" t="s">
        <v>139</v>
      </c>
    </row>
    <row r="6" spans="1:15" x14ac:dyDescent="0.25">
      <c r="B6" s="151" t="s">
        <v>174</v>
      </c>
      <c r="C6" s="156" t="s">
        <v>137</v>
      </c>
      <c r="D6" s="42">
        <v>46120</v>
      </c>
      <c r="E6" s="80" t="s">
        <v>53</v>
      </c>
      <c r="F6" s="80">
        <v>60</v>
      </c>
      <c r="G6" s="80">
        <v>210</v>
      </c>
      <c r="H6" s="155">
        <v>12600</v>
      </c>
      <c r="I6" s="80">
        <v>0</v>
      </c>
      <c r="J6" s="155">
        <v>12600</v>
      </c>
      <c r="K6" s="80">
        <v>0</v>
      </c>
      <c r="L6" s="80"/>
      <c r="M6" s="80"/>
      <c r="N6" s="80"/>
      <c r="O6" s="5"/>
    </row>
    <row r="7" spans="1:15" x14ac:dyDescent="0.25">
      <c r="B7" s="5"/>
      <c r="C7" s="5"/>
      <c r="D7" s="80"/>
      <c r="E7" s="80"/>
      <c r="F7" s="80"/>
      <c r="G7" s="80" t="s">
        <v>73</v>
      </c>
      <c r="H7" s="155">
        <v>12600</v>
      </c>
      <c r="I7" s="80"/>
      <c r="J7" s="155">
        <v>12600</v>
      </c>
      <c r="K7" s="80"/>
      <c r="L7" s="155">
        <v>12600</v>
      </c>
      <c r="M7" s="80"/>
      <c r="N7" s="80"/>
      <c r="O7" s="5"/>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F71"/>
  <sheetViews>
    <sheetView zoomScaleNormal="100" workbookViewId="0">
      <selection activeCell="F66" sqref="F66"/>
    </sheetView>
  </sheetViews>
  <sheetFormatPr defaultColWidth="8.7109375" defaultRowHeight="15" x14ac:dyDescent="0.25"/>
  <cols>
    <col min="1" max="1" width="32.85546875" customWidth="1"/>
    <col min="2" max="2" width="7.42578125" customWidth="1"/>
    <col min="3" max="3" width="34.42578125" customWidth="1"/>
    <col min="5" max="5" width="11" customWidth="1"/>
    <col min="6" max="6" width="11.28515625" customWidth="1"/>
  </cols>
  <sheetData>
    <row r="1" spans="1:6" x14ac:dyDescent="0.25">
      <c r="A1" s="67" t="s">
        <v>109</v>
      </c>
      <c r="B1" s="67" t="s">
        <v>110</v>
      </c>
      <c r="C1" s="67" t="s">
        <v>111</v>
      </c>
      <c r="D1" s="67" t="s">
        <v>33</v>
      </c>
      <c r="E1" s="67" t="s">
        <v>65</v>
      </c>
      <c r="F1" s="67" t="s">
        <v>112</v>
      </c>
    </row>
    <row r="2" spans="1:6" x14ac:dyDescent="0.25">
      <c r="A2" s="68" t="s">
        <v>113</v>
      </c>
      <c r="B2" s="68" t="s">
        <v>62</v>
      </c>
      <c r="C2" s="68" t="str">
        <f>'ARK Hospital'!D5</f>
        <v>Dialyzer 1.7H</v>
      </c>
      <c r="D2" s="68">
        <f>'ARK Hospital'!E5</f>
        <v>60</v>
      </c>
      <c r="E2" s="68">
        <f>'ARK Hospital'!F5</f>
        <v>680</v>
      </c>
      <c r="F2" s="68" t="str">
        <f>IFERROR(INDEX('Item Mapping'!$B$2:$B$31,MATCH(C2,'Item Mapping'!$A$2:$A$31,0)),"UNMAPPED")</f>
        <v>ITEM01</v>
      </c>
    </row>
    <row r="3" spans="1:6" x14ac:dyDescent="0.25">
      <c r="A3" s="68" t="s">
        <v>113</v>
      </c>
      <c r="B3" s="68" t="s">
        <v>62</v>
      </c>
      <c r="C3" s="68" t="str">
        <f>'ARK Hospital'!D6</f>
        <v>Blood Line Sets</v>
      </c>
      <c r="D3" s="68">
        <f>'ARK Hospital'!E6</f>
        <v>30</v>
      </c>
      <c r="E3" s="68">
        <f>'ARK Hospital'!F6</f>
        <v>230</v>
      </c>
      <c r="F3" s="68" t="str">
        <f>IFERROR(INDEX('Item Mapping'!$B$2:$B$31,MATCH(C3,'Item Mapping'!$A$2:$A$31,0)),"UNMAPPED")</f>
        <v>ITEM10</v>
      </c>
    </row>
    <row r="4" spans="1:6" x14ac:dyDescent="0.25">
      <c r="A4" s="68" t="s">
        <v>113</v>
      </c>
      <c r="B4" s="68" t="s">
        <v>62</v>
      </c>
      <c r="C4" s="68" t="str">
        <f>'ARK Hospital'!D7</f>
        <v>Central Vanous Cather 7Fr-13cm</v>
      </c>
      <c r="D4" s="68">
        <f>'ARK Hospital'!E7</f>
        <v>10</v>
      </c>
      <c r="E4" s="68">
        <f>'ARK Hospital'!F7</f>
        <v>1300</v>
      </c>
      <c r="F4" s="68" t="str">
        <f>IFERROR(INDEX('Item Mapping'!$B$2:$B$31,MATCH(C4,'Item Mapping'!$A$2:$A$31,0)),"UNMAPPED")</f>
        <v>ITEM13</v>
      </c>
    </row>
    <row r="5" spans="1:6" x14ac:dyDescent="0.25">
      <c r="A5" s="68" t="s">
        <v>113</v>
      </c>
      <c r="B5" s="68" t="s">
        <v>74</v>
      </c>
      <c r="C5" s="68" t="str">
        <f>'ARK Hospital'!D11</f>
        <v>Dialyzer 1.7H</v>
      </c>
      <c r="D5" s="68">
        <f>'ARK Hospital'!E11</f>
        <v>90</v>
      </c>
      <c r="E5" s="68">
        <f>'ARK Hospital'!F11</f>
        <v>680</v>
      </c>
      <c r="F5" s="68" t="str">
        <f>IFERROR(INDEX('Item Mapping'!$B$2:$B$31,MATCH(C5,'Item Mapping'!$A$2:$A$31,0)),"UNMAPPED")</f>
        <v>ITEM01</v>
      </c>
    </row>
    <row r="6" spans="1:6" x14ac:dyDescent="0.25">
      <c r="A6" s="68" t="s">
        <v>113</v>
      </c>
      <c r="B6" s="68" t="s">
        <v>74</v>
      </c>
      <c r="C6" s="68" t="str">
        <f>'ARK Hospital'!D12</f>
        <v>Blood Line Sets</v>
      </c>
      <c r="D6" s="68">
        <f>'ARK Hospital'!E12</f>
        <v>30</v>
      </c>
      <c r="E6" s="68">
        <f>'ARK Hospital'!F12</f>
        <v>230</v>
      </c>
      <c r="F6" s="68" t="str">
        <f>IFERROR(INDEX('Item Mapping'!$B$2:$B$31,MATCH(C6,'Item Mapping'!$A$2:$A$31,0)),"UNMAPPED")</f>
        <v>ITEM10</v>
      </c>
    </row>
    <row r="7" spans="1:6" x14ac:dyDescent="0.25">
      <c r="A7" s="68" t="s">
        <v>113</v>
      </c>
      <c r="B7" s="68" t="s">
        <v>74</v>
      </c>
      <c r="C7" s="68" t="str">
        <f>'ARK Hospital'!D13</f>
        <v>Dialyzer 1.7H</v>
      </c>
      <c r="D7" s="68">
        <f>'ARK Hospital'!E13</f>
        <v>60</v>
      </c>
      <c r="E7" s="68">
        <f>'ARK Hospital'!F13</f>
        <v>680</v>
      </c>
      <c r="F7" s="68" t="str">
        <f>IFERROR(INDEX('Item Mapping'!$B$2:$B$31,MATCH(C7,'Item Mapping'!$A$2:$A$31,0)),"UNMAPPED")</f>
        <v>ITEM01</v>
      </c>
    </row>
    <row r="8" spans="1:6" x14ac:dyDescent="0.25">
      <c r="A8" s="68" t="s">
        <v>113</v>
      </c>
      <c r="B8" s="68" t="s">
        <v>74</v>
      </c>
      <c r="C8" s="68" t="str">
        <f>'ARK Hospital'!D14</f>
        <v>Blood Line Sets</v>
      </c>
      <c r="D8" s="68">
        <f>'ARK Hospital'!E14</f>
        <v>30</v>
      </c>
      <c r="E8" s="68">
        <f>'ARK Hospital'!F14</f>
        <v>230</v>
      </c>
      <c r="F8" s="68" t="str">
        <f>IFERROR(INDEX('Item Mapping'!$B$2:$B$31,MATCH(C8,'Item Mapping'!$A$2:$A$31,0)),"UNMAPPED")</f>
        <v>ITEM10</v>
      </c>
    </row>
    <row r="9" spans="1:6" x14ac:dyDescent="0.25">
      <c r="A9" s="68" t="s">
        <v>113</v>
      </c>
      <c r="B9" s="68" t="s">
        <v>74</v>
      </c>
      <c r="C9" s="68" t="str">
        <f>'ARK Hospital'!D15</f>
        <v>Dialyzer 1.7H</v>
      </c>
      <c r="D9" s="68">
        <f>'ARK Hospital'!E15</f>
        <v>30</v>
      </c>
      <c r="E9" s="68">
        <f>'ARK Hospital'!F15</f>
        <v>680</v>
      </c>
      <c r="F9" s="68" t="str">
        <f>IFERROR(INDEX('Item Mapping'!$B$2:$B$31,MATCH(C9,'Item Mapping'!$A$2:$A$31,0)),"UNMAPPED")</f>
        <v>ITEM01</v>
      </c>
    </row>
    <row r="10" spans="1:6" x14ac:dyDescent="0.25">
      <c r="A10" s="68" t="s">
        <v>113</v>
      </c>
      <c r="B10" s="68" t="s">
        <v>74</v>
      </c>
      <c r="C10" s="68" t="str">
        <f>'ARK Hospital'!D16</f>
        <v>Dialyzer 1.7L</v>
      </c>
      <c r="D10" s="68">
        <f>'ARK Hospital'!E16</f>
        <v>30</v>
      </c>
      <c r="E10" s="68">
        <f>'ARK Hospital'!F16</f>
        <v>680</v>
      </c>
      <c r="F10" s="68" t="str">
        <f>IFERROR(INDEX('Item Mapping'!$B$2:$B$31,MATCH(C10,'Item Mapping'!$A$2:$A$31,0)),"UNMAPPED")</f>
        <v>ITEM02</v>
      </c>
    </row>
    <row r="11" spans="1:6" x14ac:dyDescent="0.25">
      <c r="A11" s="68" t="s">
        <v>113</v>
      </c>
      <c r="B11" s="68" t="s">
        <v>74</v>
      </c>
      <c r="C11" s="68" t="str">
        <f>'ARK Hospital'!D17</f>
        <v>Blood Line Sets</v>
      </c>
      <c r="D11" s="68">
        <f>'ARK Hospital'!E17</f>
        <v>30</v>
      </c>
      <c r="E11" s="68">
        <f>'ARK Hospital'!F17</f>
        <v>230</v>
      </c>
      <c r="F11" s="68" t="str">
        <f>IFERROR(INDEX('Item Mapping'!$B$2:$B$31,MATCH(C11,'Item Mapping'!$A$2:$A$31,0)),"UNMAPPED")</f>
        <v>ITEM10</v>
      </c>
    </row>
    <row r="12" spans="1:6" x14ac:dyDescent="0.25">
      <c r="A12" s="68" t="s">
        <v>113</v>
      </c>
      <c r="B12" s="68" t="s">
        <v>77</v>
      </c>
      <c r="C12" s="68" t="str">
        <f>'ARK Hospital'!D21</f>
        <v>Dialyzer 1.5H</v>
      </c>
      <c r="D12" s="68">
        <f>'ARK Hospital'!E21</f>
        <v>60</v>
      </c>
      <c r="E12" s="68">
        <f>'ARK Hospital'!F21</f>
        <v>680</v>
      </c>
      <c r="F12" s="68" t="str">
        <f>IFERROR(INDEX('Item Mapping'!$B$2:$B$31,MATCH(C12,'Item Mapping'!$A$2:$A$31,0)),"UNMAPPED")</f>
        <v>ITEM03</v>
      </c>
    </row>
    <row r="13" spans="1:6" x14ac:dyDescent="0.25">
      <c r="A13" s="68" t="s">
        <v>113</v>
      </c>
      <c r="B13" s="68" t="s">
        <v>77</v>
      </c>
      <c r="C13" s="68" t="str">
        <f>'ARK Hospital'!D22</f>
        <v>Dialyzer 2.0</v>
      </c>
      <c r="D13" s="68">
        <f>'ARK Hospital'!E22</f>
        <v>30</v>
      </c>
      <c r="E13" s="68">
        <f>'ARK Hospital'!F22</f>
        <v>680</v>
      </c>
      <c r="F13" s="68" t="str">
        <f>IFERROR(INDEX('Item Mapping'!$B$2:$B$31,MATCH(C13,'Item Mapping'!$A$2:$A$31,0)),"UNMAPPED")</f>
        <v>ITEM08</v>
      </c>
    </row>
    <row r="14" spans="1:6" x14ac:dyDescent="0.25">
      <c r="A14" s="68" t="s">
        <v>113</v>
      </c>
      <c r="B14" s="68" t="s">
        <v>77</v>
      </c>
      <c r="C14" s="68" t="str">
        <f>'ARK Hospital'!D23</f>
        <v>Dialyzer 1.5H</v>
      </c>
      <c r="D14" s="68">
        <f>'ARK Hospital'!E23</f>
        <v>60</v>
      </c>
      <c r="E14" s="68">
        <f>'ARK Hospital'!F23</f>
        <v>680</v>
      </c>
      <c r="F14" s="68" t="str">
        <f>IFERROR(INDEX('Item Mapping'!$B$2:$B$31,MATCH(C14,'Item Mapping'!$A$2:$A$31,0)),"UNMAPPED")</f>
        <v>ITEM03</v>
      </c>
    </row>
    <row r="15" spans="1:6" x14ac:dyDescent="0.25">
      <c r="A15" s="68" t="s">
        <v>113</v>
      </c>
      <c r="B15" s="68" t="s">
        <v>77</v>
      </c>
      <c r="C15" s="68" t="str">
        <f>'ARK Hospital'!D24</f>
        <v>Dialyzer 1.5H</v>
      </c>
      <c r="D15" s="68">
        <f>'ARK Hospital'!E24</f>
        <v>60</v>
      </c>
      <c r="E15" s="68">
        <f>'ARK Hospital'!F24</f>
        <v>680</v>
      </c>
      <c r="F15" s="68" t="str">
        <f>IFERROR(INDEX('Item Mapping'!$B$2:$B$31,MATCH(C15,'Item Mapping'!$A$2:$A$31,0)),"UNMAPPED")</f>
        <v>ITEM03</v>
      </c>
    </row>
    <row r="16" spans="1:6" x14ac:dyDescent="0.25">
      <c r="A16" s="68" t="s">
        <v>6</v>
      </c>
      <c r="B16" s="68" t="s">
        <v>62</v>
      </c>
      <c r="C16" s="68" t="str">
        <f>'Bismillah Surgical'!D4</f>
        <v>Dialyzer 1.5H</v>
      </c>
      <c r="D16" s="68">
        <f>'Bismillah Surgical'!E4</f>
        <v>30</v>
      </c>
      <c r="E16" s="68">
        <f>'Bismillah Surgical'!F4</f>
        <v>700</v>
      </c>
      <c r="F16" s="68" t="str">
        <f>IFERROR(INDEX('Item Mapping'!$B$2:$B$31,MATCH(C16,'Item Mapping'!$A$2:$A$31,0)),"UNMAPPED")</f>
        <v>ITEM03</v>
      </c>
    </row>
    <row r="17" spans="1:6" x14ac:dyDescent="0.25">
      <c r="A17" s="68" t="s">
        <v>6</v>
      </c>
      <c r="B17" s="68" t="s">
        <v>62</v>
      </c>
      <c r="C17" s="68" t="str">
        <f>'Bismillah Surgical'!D5</f>
        <v>Dialyzer 1.5L</v>
      </c>
      <c r="D17" s="68">
        <f>'Bismillah Surgical'!E5</f>
        <v>30</v>
      </c>
      <c r="E17" s="68">
        <f>'Bismillah Surgical'!F5</f>
        <v>700</v>
      </c>
      <c r="F17" s="68" t="str">
        <f>IFERROR(INDEX('Item Mapping'!$B$2:$B$31,MATCH(C17,'Item Mapping'!$A$2:$A$31,0)),"UNMAPPED")</f>
        <v>ITEM04</v>
      </c>
    </row>
    <row r="18" spans="1:6" x14ac:dyDescent="0.25">
      <c r="A18" s="68" t="s">
        <v>6</v>
      </c>
      <c r="B18" s="68" t="s">
        <v>62</v>
      </c>
      <c r="C18" s="68" t="str">
        <f>'Bismillah Surgical'!D6</f>
        <v>Blood Line Sets</v>
      </c>
      <c r="D18" s="68">
        <f>'Bismillah Surgical'!E6</f>
        <v>60</v>
      </c>
      <c r="E18" s="68">
        <f>'Bismillah Surgical'!F6</f>
        <v>230</v>
      </c>
      <c r="F18" s="68" t="str">
        <f>IFERROR(INDEX('Item Mapping'!$B$2:$B$31,MATCH(C18,'Item Mapping'!$A$2:$A$31,0)),"UNMAPPED")</f>
        <v>ITEM10</v>
      </c>
    </row>
    <row r="19" spans="1:6" x14ac:dyDescent="0.25">
      <c r="A19" s="68" t="s">
        <v>6</v>
      </c>
      <c r="B19" s="68" t="s">
        <v>62</v>
      </c>
      <c r="C19" s="68" t="str">
        <f>'Bismillah Surgical'!D7</f>
        <v>AV Fistula 16g</v>
      </c>
      <c r="D19" s="68">
        <f>'Bismillah Surgical'!E7</f>
        <v>50</v>
      </c>
      <c r="E19" s="68">
        <f>'Bismillah Surgical'!F7</f>
        <v>60</v>
      </c>
      <c r="F19" s="68" t="str">
        <f>IFERROR(INDEX('Item Mapping'!$B$2:$B$31,MATCH(C19,'Item Mapping'!$A$2:$A$31,0)),"UNMAPPED")</f>
        <v>ITEM11</v>
      </c>
    </row>
    <row r="20" spans="1:6" x14ac:dyDescent="0.25">
      <c r="A20" s="68" t="s">
        <v>6</v>
      </c>
      <c r="B20" s="68" t="s">
        <v>62</v>
      </c>
      <c r="C20" s="68" t="str">
        <f>'Bismillah Surgical'!D8</f>
        <v>AV Fistula 17g</v>
      </c>
      <c r="D20" s="68">
        <f>'Bismillah Surgical'!E8</f>
        <v>30</v>
      </c>
      <c r="E20" s="68">
        <f>'Bismillah Surgical'!F8</f>
        <v>60</v>
      </c>
      <c r="F20" s="68" t="str">
        <f>IFERROR(INDEX('Item Mapping'!$B$2:$B$31,MATCH(C20,'Item Mapping'!$A$2:$A$31,0)),"UNMAPPED")</f>
        <v>ITEM12</v>
      </c>
    </row>
    <row r="21" spans="1:6" x14ac:dyDescent="0.25">
      <c r="A21" s="68" t="s">
        <v>6</v>
      </c>
      <c r="B21" s="68" t="s">
        <v>62</v>
      </c>
      <c r="C21" s="68" t="str">
        <f>'Bismillah Surgical'!D9</f>
        <v>AV Fistula Needle for Hemodialysis</v>
      </c>
      <c r="D21" s="68">
        <f>'Bismillah Surgical'!E9</f>
        <v>80</v>
      </c>
      <c r="E21" s="68">
        <f>'Bismillah Surgical'!F9</f>
        <v>60</v>
      </c>
      <c r="F21" s="68" t="str">
        <f>IFERROR(INDEX('Item Mapping'!$B$2:$B$31,MATCH(C21,'Item Mapping'!$A$2:$A$31,0)),"UNMAPPED")</f>
        <v>ITEM11</v>
      </c>
    </row>
    <row r="22" spans="1:6" x14ac:dyDescent="0.25">
      <c r="A22" s="68" t="s">
        <v>6</v>
      </c>
      <c r="B22" s="68" t="s">
        <v>62</v>
      </c>
      <c r="C22" s="68" t="str">
        <f>'Bismillah Surgical'!D10</f>
        <v>Dialyzer for Hemodialysis 1.5H</v>
      </c>
      <c r="D22" s="68">
        <f>'Bismillah Surgical'!E10</f>
        <v>30</v>
      </c>
      <c r="E22" s="68">
        <f>'Bismillah Surgical'!F10</f>
        <v>700</v>
      </c>
      <c r="F22" s="68" t="str">
        <f>IFERROR(INDEX('Item Mapping'!$B$2:$B$31,MATCH(C22,'Item Mapping'!$A$2:$A$31,0)),"UNMAPPED")</f>
        <v>ITEM03</v>
      </c>
    </row>
    <row r="23" spans="1:6" x14ac:dyDescent="0.25">
      <c r="A23" s="68" t="s">
        <v>6</v>
      </c>
      <c r="B23" s="68" t="s">
        <v>62</v>
      </c>
      <c r="C23" s="68" t="str">
        <f>'Bismillah Surgical'!D11</f>
        <v>Dialyzer For Hemodialysis 1.5L</v>
      </c>
      <c r="D23" s="68">
        <f>'Bismillah Surgical'!E11</f>
        <v>30</v>
      </c>
      <c r="E23" s="68">
        <f>'Bismillah Surgical'!F11</f>
        <v>700</v>
      </c>
      <c r="F23" s="68" t="str">
        <f>IFERROR(INDEX('Item Mapping'!$B$2:$B$31,MATCH(C23,'Item Mapping'!$A$2:$A$31,0)),"UNMAPPED")</f>
        <v>ITEM04</v>
      </c>
    </row>
    <row r="24" spans="1:6" x14ac:dyDescent="0.25">
      <c r="A24" s="68" t="s">
        <v>6</v>
      </c>
      <c r="B24" s="68" t="s">
        <v>62</v>
      </c>
      <c r="C24" s="68" t="str">
        <f>'Bismillah Surgical'!D12</f>
        <v>Blood Tubing Set For Hemodialysis</v>
      </c>
      <c r="D24" s="68">
        <f>'Bismillah Surgical'!E12</f>
        <v>60</v>
      </c>
      <c r="E24" s="68">
        <f>'Bismillah Surgical'!F12</f>
        <v>230</v>
      </c>
      <c r="F24" s="68" t="str">
        <f>IFERROR(INDEX('Item Mapping'!$B$2:$B$31,MATCH(C24,'Item Mapping'!$A$2:$A$31,0)),"UNMAPPED")</f>
        <v>ITEM10</v>
      </c>
    </row>
    <row r="25" spans="1:6" x14ac:dyDescent="0.25">
      <c r="A25" s="68" t="s">
        <v>114</v>
      </c>
      <c r="B25" s="68" t="s">
        <v>62</v>
      </c>
      <c r="C25" s="68" t="str">
        <f>'Popular Medcine &amp; Departmental '!D6</f>
        <v>Dialyzer For Hemodialysis 1.5L</v>
      </c>
      <c r="D25" s="68">
        <f>'Popular Medcine &amp; Departmental '!E6</f>
        <v>30</v>
      </c>
      <c r="E25" s="68">
        <f>'Popular Medcine &amp; Departmental '!F6</f>
        <v>690</v>
      </c>
      <c r="F25" s="68" t="str">
        <f>IFERROR(INDEX('Item Mapping'!$B$2:$B$31,MATCH(C25,'Item Mapping'!$A$2:$A$31,0)),"UNMAPPED")</f>
        <v>ITEM04</v>
      </c>
    </row>
    <row r="26" spans="1:6" x14ac:dyDescent="0.25">
      <c r="A26" s="68" t="s">
        <v>114</v>
      </c>
      <c r="B26" s="68" t="s">
        <v>62</v>
      </c>
      <c r="C26" s="68" t="str">
        <f>'Popular Medcine &amp; Departmental '!D7</f>
        <v>Blood Tubing Set For Hemodialysis</v>
      </c>
      <c r="D26" s="68">
        <f>'Popular Medcine &amp; Departmental '!E7</f>
        <v>30</v>
      </c>
      <c r="E26" s="68">
        <f>'Popular Medcine &amp; Departmental '!F7</f>
        <v>240</v>
      </c>
      <c r="F26" s="68" t="str">
        <f>IFERROR(INDEX('Item Mapping'!$B$2:$B$31,MATCH(C26,'Item Mapping'!$A$2:$A$31,0)),"UNMAPPED")</f>
        <v>ITEM10</v>
      </c>
    </row>
    <row r="27" spans="1:6" x14ac:dyDescent="0.25">
      <c r="A27" s="68" t="s">
        <v>114</v>
      </c>
      <c r="B27" s="68" t="s">
        <v>62</v>
      </c>
      <c r="C27" s="68" t="str">
        <f>'Popular Medcine &amp; Departmental '!D8</f>
        <v>AV Fistula 16g</v>
      </c>
      <c r="D27" s="68">
        <f>'Popular Medcine &amp; Departmental '!E8</f>
        <v>50</v>
      </c>
      <c r="E27" s="68">
        <f>'Popular Medcine &amp; Departmental '!F8</f>
        <v>61.74</v>
      </c>
      <c r="F27" s="68" t="str">
        <f>IFERROR(INDEX('Item Mapping'!$B$2:$B$31,MATCH(C27,'Item Mapping'!$A$2:$A$31,0)),"UNMAPPED")</f>
        <v>ITEM11</v>
      </c>
    </row>
    <row r="28" spans="1:6" x14ac:dyDescent="0.25">
      <c r="A28" s="68" t="s">
        <v>114</v>
      </c>
      <c r="B28" s="68" t="s">
        <v>77</v>
      </c>
      <c r="C28" s="68" t="str">
        <f>'Popular Medcine &amp; Departmental '!D13</f>
        <v>Dialyzer 1.5H</v>
      </c>
      <c r="D28" s="68">
        <f>'Popular Medcine &amp; Departmental '!E13</f>
        <v>30</v>
      </c>
      <c r="E28" s="68">
        <f>'Popular Medcine &amp; Departmental '!F13</f>
        <v>700</v>
      </c>
      <c r="F28" s="68" t="str">
        <f>IFERROR(INDEX('Item Mapping'!$B$2:$B$31,MATCH(C28,'Item Mapping'!$A$2:$A$31,0)),"UNMAPPED")</f>
        <v>ITEM03</v>
      </c>
    </row>
    <row r="29" spans="1:6" x14ac:dyDescent="0.25">
      <c r="A29" s="68" t="s">
        <v>114</v>
      </c>
      <c r="B29" s="68" t="s">
        <v>77</v>
      </c>
      <c r="C29" s="68" t="str">
        <f>'Popular Medcine &amp; Departmental '!D14</f>
        <v>Blood Line Sets</v>
      </c>
      <c r="D29" s="68">
        <f>'Popular Medcine &amp; Departmental '!E14</f>
        <v>30</v>
      </c>
      <c r="E29" s="68">
        <f>'Popular Medcine &amp; Departmental '!F14</f>
        <v>235</v>
      </c>
      <c r="F29" s="68" t="str">
        <f>IFERROR(INDEX('Item Mapping'!$B$2:$B$31,MATCH(C29,'Item Mapping'!$A$2:$A$31,0)),"UNMAPPED")</f>
        <v>ITEM10</v>
      </c>
    </row>
    <row r="30" spans="1:6" x14ac:dyDescent="0.25">
      <c r="A30" s="68" t="s">
        <v>8</v>
      </c>
      <c r="B30" s="68" t="s">
        <v>62</v>
      </c>
      <c r="C30" s="68" t="str">
        <f>'Kuwait Moitri Hospital'!E7</f>
        <v>Dialyzer</v>
      </c>
      <c r="D30" s="68">
        <f>'Kuwait Moitri Hospital'!F7</f>
        <v>30</v>
      </c>
      <c r="E30" s="68">
        <f>'Kuwait Moitri Hospital'!G7</f>
        <v>690</v>
      </c>
      <c r="F30" s="68" t="str">
        <f>IFERROR(INDEX('Item Mapping'!$B$2:$B$31,MATCH(C30,'Item Mapping'!$A$2:$A$31,0)),"UNMAPPED")</f>
        <v>ITEM09</v>
      </c>
    </row>
    <row r="31" spans="1:6" x14ac:dyDescent="0.25">
      <c r="A31" s="68" t="s">
        <v>8</v>
      </c>
      <c r="B31" s="68" t="s">
        <v>62</v>
      </c>
      <c r="C31" s="68" t="str">
        <f>'Kuwait Moitri Hospital'!E8</f>
        <v>Blood Line Sets</v>
      </c>
      <c r="D31" s="68">
        <f>'Kuwait Moitri Hospital'!F8</f>
        <v>30</v>
      </c>
      <c r="E31" s="68">
        <f>'Kuwait Moitri Hospital'!G8</f>
        <v>230</v>
      </c>
      <c r="F31" s="68" t="str">
        <f>IFERROR(INDEX('Item Mapping'!$B$2:$B$31,MATCH(C31,'Item Mapping'!$A$2:$A$31,0)),"UNMAPPED")</f>
        <v>ITEM10</v>
      </c>
    </row>
    <row r="32" spans="1:6" x14ac:dyDescent="0.25">
      <c r="A32" s="68" t="s">
        <v>9</v>
      </c>
      <c r="B32" s="68" t="s">
        <v>62</v>
      </c>
      <c r="C32" s="68" t="str">
        <f>'VIP PHARMA-HAZI PHARMA'!E5</f>
        <v>Dialyzer 1.7H</v>
      </c>
      <c r="D32" s="68">
        <f>'VIP PHARMA-HAZI PHARMA'!F5</f>
        <v>60</v>
      </c>
      <c r="E32" s="68">
        <f>'VIP PHARMA-HAZI PHARMA'!G5</f>
        <v>700</v>
      </c>
      <c r="F32" s="68" t="str">
        <f>IFERROR(INDEX('Item Mapping'!$B$2:$B$31,MATCH(C32,'Item Mapping'!$A$2:$A$31,0)),"UNMAPPED")</f>
        <v>ITEM01</v>
      </c>
    </row>
    <row r="33" spans="1:6" x14ac:dyDescent="0.25">
      <c r="A33" s="68" t="s">
        <v>9</v>
      </c>
      <c r="B33" s="68" t="s">
        <v>62</v>
      </c>
      <c r="C33" s="68" t="str">
        <f>'VIP PHARMA-HAZI PHARMA'!E6</f>
        <v>Dialyzer 1.6H</v>
      </c>
      <c r="D33" s="68">
        <f>'VIP PHARMA-HAZI PHARMA'!F6</f>
        <v>60</v>
      </c>
      <c r="E33" s="68">
        <f>'VIP PHARMA-HAZI PHARMA'!G6</f>
        <v>700</v>
      </c>
      <c r="F33" s="68" t="str">
        <f>IFERROR(INDEX('Item Mapping'!$B$2:$B$31,MATCH(C33,'Item Mapping'!$A$2:$A$31,0)),"UNMAPPED")</f>
        <v>ITEM05</v>
      </c>
    </row>
    <row r="34" spans="1:6" x14ac:dyDescent="0.25">
      <c r="A34" s="68" t="s">
        <v>9</v>
      </c>
      <c r="B34" s="68" t="s">
        <v>62</v>
      </c>
      <c r="C34" s="68" t="str">
        <f>'VIP PHARMA-HAZI PHARMA'!E7</f>
        <v>Blood Line Sets</v>
      </c>
      <c r="D34" s="68">
        <f>'VIP PHARMA-HAZI PHARMA'!F7</f>
        <v>60</v>
      </c>
      <c r="E34" s="68">
        <f>'VIP PHARMA-HAZI PHARMA'!G7</f>
        <v>230</v>
      </c>
      <c r="F34" s="68" t="str">
        <f>IFERROR(INDEX('Item Mapping'!$B$2:$B$31,MATCH(C34,'Item Mapping'!$A$2:$A$31,0)),"UNMAPPED")</f>
        <v>ITEM10</v>
      </c>
    </row>
    <row r="35" spans="1:6" x14ac:dyDescent="0.25">
      <c r="A35" s="68" t="s">
        <v>10</v>
      </c>
      <c r="B35" s="68" t="s">
        <v>74</v>
      </c>
      <c r="C35" s="68" t="str">
        <f>'Mr. Afjal'!E6</f>
        <v>Dialyzer 1.6H</v>
      </c>
      <c r="D35" s="68">
        <f>'Mr. Afjal'!F6</f>
        <v>30</v>
      </c>
      <c r="E35" s="68">
        <f>'Mr. Afjal'!G6</f>
        <v>680</v>
      </c>
      <c r="F35" s="68" t="str">
        <f>IFERROR(INDEX('Item Mapping'!$B$2:$B$31,MATCH(C35,'Item Mapping'!$A$2:$A$31,0)),"UNMAPPED")</f>
        <v>ITEM05</v>
      </c>
    </row>
    <row r="36" spans="1:6" x14ac:dyDescent="0.25">
      <c r="A36" s="68" t="s">
        <v>10</v>
      </c>
      <c r="B36" s="68" t="s">
        <v>74</v>
      </c>
      <c r="C36" s="68" t="str">
        <f>'Mr. Afjal'!E7</f>
        <v>Blood Line Sets</v>
      </c>
      <c r="D36" s="68">
        <f>'Mr. Afjal'!F7</f>
        <v>30</v>
      </c>
      <c r="E36" s="68">
        <f>'Mr. Afjal'!G7</f>
        <v>230</v>
      </c>
      <c r="F36" s="68" t="str">
        <f>IFERROR(INDEX('Item Mapping'!$B$2:$B$31,MATCH(C36,'Item Mapping'!$A$2:$A$31,0)),"UNMAPPED")</f>
        <v>ITEM10</v>
      </c>
    </row>
    <row r="37" spans="1:6" x14ac:dyDescent="0.25">
      <c r="A37" s="68" t="s">
        <v>10</v>
      </c>
      <c r="B37" s="68" t="s">
        <v>92</v>
      </c>
      <c r="C37" s="68" t="str">
        <f>'Mr. Afjal'!E13</f>
        <v>Blood Line Sets</v>
      </c>
      <c r="D37" s="68">
        <f>'Mr. Afjal'!F13</f>
        <v>120</v>
      </c>
      <c r="E37" s="68" t="str">
        <f>'Mr. Afjal'!G13</f>
        <v>[225]200</v>
      </c>
      <c r="F37" s="68" t="str">
        <f>IFERROR(INDEX('Item Mapping'!$B$2:$B$31,MATCH(C37,'Item Mapping'!$A$2:$A$31,0)),"UNMAPPED")</f>
        <v>ITEM10</v>
      </c>
    </row>
    <row r="38" spans="1:6" x14ac:dyDescent="0.25">
      <c r="A38" s="68" t="s">
        <v>115</v>
      </c>
      <c r="B38" s="68" t="s">
        <v>74</v>
      </c>
      <c r="C38" s="68" t="str">
        <f>'AR Medi Corporation'!D6</f>
        <v>Dialyzer 1.6L</v>
      </c>
      <c r="D38" s="68">
        <f>'AR Medi Corporation'!E6</f>
        <v>30</v>
      </c>
      <c r="E38" s="68">
        <f>'AR Medi Corporation'!F6</f>
        <v>680</v>
      </c>
      <c r="F38" s="68" t="str">
        <f>IFERROR(INDEX('Item Mapping'!$B$2:$B$31,MATCH(C38,'Item Mapping'!$A$2:$A$31,0)),"UNMAPPED")</f>
        <v>ITEM06</v>
      </c>
    </row>
    <row r="39" spans="1:6" x14ac:dyDescent="0.25">
      <c r="A39" s="68" t="s">
        <v>115</v>
      </c>
      <c r="B39" s="68" t="s">
        <v>74</v>
      </c>
      <c r="C39" s="68" t="str">
        <f>'AR Medi Corporation'!D7</f>
        <v>Blood Line Sets</v>
      </c>
      <c r="D39" s="68">
        <f>'AR Medi Corporation'!E7</f>
        <v>30</v>
      </c>
      <c r="E39" s="68">
        <f>'AR Medi Corporation'!F7</f>
        <v>220</v>
      </c>
      <c r="F39" s="68" t="str">
        <f>IFERROR(INDEX('Item Mapping'!$B$2:$B$31,MATCH(C39,'Item Mapping'!$A$2:$A$31,0)),"UNMAPPED")</f>
        <v>ITEM10</v>
      </c>
    </row>
    <row r="40" spans="1:6" x14ac:dyDescent="0.25">
      <c r="A40" s="68" t="s">
        <v>115</v>
      </c>
      <c r="B40" s="68" t="s">
        <v>74</v>
      </c>
      <c r="C40" s="68" t="str">
        <f>'AR Medi Corporation'!D8</f>
        <v>AV Fistula 16g</v>
      </c>
      <c r="D40" s="68">
        <f>'AR Medi Corporation'!E8</f>
        <v>50</v>
      </c>
      <c r="E40" s="68">
        <f>'AR Medi Corporation'!F8</f>
        <v>55</v>
      </c>
      <c r="F40" s="68" t="str">
        <f>IFERROR(INDEX('Item Mapping'!$B$2:$B$31,MATCH(C40,'Item Mapping'!$A$2:$A$31,0)),"UNMAPPED")</f>
        <v>ITEM11</v>
      </c>
    </row>
    <row r="41" spans="1:6" x14ac:dyDescent="0.25">
      <c r="A41" s="68" t="s">
        <v>13</v>
      </c>
      <c r="B41" s="68" t="s">
        <v>74</v>
      </c>
      <c r="C41" s="68" t="str">
        <f>'SG Pharma Shamoly'!D6</f>
        <v>Dialyzer 1.6H</v>
      </c>
      <c r="D41" s="68">
        <f>'SG Pharma Shamoly'!E6</f>
        <v>30</v>
      </c>
      <c r="E41" s="68">
        <f>'SG Pharma Shamoly'!F6</f>
        <v>690</v>
      </c>
      <c r="F41" s="68" t="str">
        <f>IFERROR(INDEX('Item Mapping'!$B$2:$B$31,MATCH(C41,'Item Mapping'!$A$2:$A$31,0)),"UNMAPPED")</f>
        <v>ITEM05</v>
      </c>
    </row>
    <row r="42" spans="1:6" x14ac:dyDescent="0.25">
      <c r="A42" s="68" t="s">
        <v>16</v>
      </c>
      <c r="B42" s="68" t="s">
        <v>74</v>
      </c>
      <c r="C42" s="68" t="str">
        <f>'Norshingdi Pharma'!D6</f>
        <v>Dialyzer 1.6H</v>
      </c>
      <c r="D42" s="68">
        <f>'Norshingdi Pharma'!E6</f>
        <v>30</v>
      </c>
      <c r="E42" s="68">
        <f>'Norshingdi Pharma'!F6</f>
        <v>680</v>
      </c>
      <c r="F42" s="68" t="str">
        <f>IFERROR(INDEX('Item Mapping'!$B$2:$B$31,MATCH(C42,'Item Mapping'!$A$2:$A$31,0)),"UNMAPPED")</f>
        <v>ITEM05</v>
      </c>
    </row>
    <row r="43" spans="1:6" x14ac:dyDescent="0.25">
      <c r="A43" s="68" t="s">
        <v>16</v>
      </c>
      <c r="B43" s="68" t="s">
        <v>77</v>
      </c>
      <c r="C43" s="68" t="str">
        <f>'Norshingdi Pharma'!D10</f>
        <v>Dialyzer 1.6H</v>
      </c>
      <c r="D43" s="68">
        <f>'Norshingdi Pharma'!E10</f>
        <v>30</v>
      </c>
      <c r="E43" s="68">
        <f>'Norshingdi Pharma'!F10</f>
        <v>680</v>
      </c>
      <c r="F43" s="68" t="str">
        <f>IFERROR(INDEX('Item Mapping'!$B$2:$B$31,MATCH(C43,'Item Mapping'!$A$2:$A$31,0)),"UNMAPPED")</f>
        <v>ITEM05</v>
      </c>
    </row>
    <row r="44" spans="1:6" x14ac:dyDescent="0.25">
      <c r="A44" s="68" t="s">
        <v>16</v>
      </c>
      <c r="B44" s="68" t="s">
        <v>92</v>
      </c>
      <c r="C44" s="68" t="str">
        <f>'Norshingdi Pharma'!D14</f>
        <v>Dialyzer 1.5H</v>
      </c>
      <c r="D44" s="68">
        <f>'Norshingdi Pharma'!E14</f>
        <v>30</v>
      </c>
      <c r="E44" s="68">
        <f>'Norshingdi Pharma'!F14</f>
        <v>690</v>
      </c>
      <c r="F44" s="68" t="str">
        <f>IFERROR(INDEX('Item Mapping'!$B$2:$B$31,MATCH(C44,'Item Mapping'!$A$2:$A$31,0)),"UNMAPPED")</f>
        <v>ITEM03</v>
      </c>
    </row>
    <row r="45" spans="1:6" x14ac:dyDescent="0.25">
      <c r="A45" s="68" t="s">
        <v>16</v>
      </c>
      <c r="B45" s="68" t="s">
        <v>92</v>
      </c>
      <c r="C45" s="68" t="str">
        <f>'Norshingdi Pharma'!D15</f>
        <v>Blood Line Setzs</v>
      </c>
      <c r="D45" s="68">
        <f>'Norshingdi Pharma'!E15</f>
        <v>30</v>
      </c>
      <c r="E45" s="68">
        <f>'Norshingdi Pharma'!F15</f>
        <v>220</v>
      </c>
      <c r="F45" s="68" t="str">
        <f>IFERROR(INDEX('Item Mapping'!$B$2:$B$31,MATCH(C45,'Item Mapping'!$A$2:$A$31,0)),"UNMAPPED")</f>
        <v>ITEM10</v>
      </c>
    </row>
    <row r="46" spans="1:6" x14ac:dyDescent="0.25">
      <c r="A46" s="68" t="s">
        <v>18</v>
      </c>
      <c r="B46" s="68" t="s">
        <v>74</v>
      </c>
      <c r="C46" s="68" t="str">
        <f>'Life Surgical'!D7</f>
        <v>Dialyzer 1.6H</v>
      </c>
      <c r="D46" s="68">
        <f>'Life Surgical'!E7</f>
        <v>30</v>
      </c>
      <c r="E46" s="68">
        <f>'Life Surgical'!F7</f>
        <v>680</v>
      </c>
      <c r="F46" s="68" t="str">
        <f>IFERROR(INDEX('Item Mapping'!$B$2:$B$31,MATCH(C46,'Item Mapping'!$A$2:$A$31,0)),"UNMAPPED")</f>
        <v>ITEM05</v>
      </c>
    </row>
    <row r="47" spans="1:6" x14ac:dyDescent="0.25">
      <c r="A47" s="68" t="s">
        <v>18</v>
      </c>
      <c r="B47" s="68" t="s">
        <v>77</v>
      </c>
      <c r="C47" s="68" t="str">
        <f>'Life Surgical'!D11</f>
        <v>Dialyzer 1.6L</v>
      </c>
      <c r="D47" s="68">
        <f>'Life Surgical'!E11</f>
        <v>30</v>
      </c>
      <c r="E47" s="68">
        <f>'Life Surgical'!F11</f>
        <v>680</v>
      </c>
      <c r="F47" s="68" t="str">
        <f>IFERROR(INDEX('Item Mapping'!$B$2:$B$31,MATCH(C47,'Item Mapping'!$A$2:$A$31,0)),"UNMAPPED")</f>
        <v>ITEM06</v>
      </c>
    </row>
    <row r="48" spans="1:6" x14ac:dyDescent="0.25">
      <c r="A48" s="68" t="s">
        <v>19</v>
      </c>
      <c r="B48" s="68" t="s">
        <v>74</v>
      </c>
      <c r="C48" s="68" t="str">
        <f>'Chittagong Healthcare'!D8</f>
        <v>Blood Tubing Set for Hemodialysis</v>
      </c>
      <c r="D48" s="68">
        <f>'Chittagong Healthcare'!E8</f>
        <v>510</v>
      </c>
      <c r="E48" s="68">
        <f>'Chittagong Healthcare'!F8</f>
        <v>220</v>
      </c>
      <c r="F48" s="68" t="str">
        <f>IFERROR(INDEX('Item Mapping'!$B$2:$B$31,MATCH(C48,'Item Mapping'!$A$2:$A$31,0)),"UNMAPPED")</f>
        <v>ITEM10</v>
      </c>
    </row>
    <row r="49" spans="1:6" x14ac:dyDescent="0.25">
      <c r="A49" s="68" t="s">
        <v>19</v>
      </c>
      <c r="B49" s="68" t="s">
        <v>74</v>
      </c>
      <c r="C49" s="68" t="str">
        <f>'Chittagong Healthcare'!D9</f>
        <v>Dialyzer for Hemodialysis 1.7H</v>
      </c>
      <c r="D49" s="68">
        <f>'Chittagong Healthcare'!E9</f>
        <v>150</v>
      </c>
      <c r="E49" s="68">
        <f>'Chittagong Healthcare'!F9</f>
        <v>700</v>
      </c>
      <c r="F49" s="68" t="str">
        <f>IFERROR(INDEX('Item Mapping'!$B$2:$B$31,MATCH(C49,'Item Mapping'!$A$2:$A$31,0)),"UNMAPPED")</f>
        <v>ITEM01</v>
      </c>
    </row>
    <row r="50" spans="1:6" x14ac:dyDescent="0.25">
      <c r="A50" s="68" t="s">
        <v>19</v>
      </c>
      <c r="B50" s="68" t="s">
        <v>74</v>
      </c>
      <c r="C50" s="68" t="str">
        <f>'Chittagong Healthcare'!D10</f>
        <v>Dialyzer for Hemodialysis 1.7L</v>
      </c>
      <c r="D50" s="68">
        <f>'Chittagong Healthcare'!E10</f>
        <v>150</v>
      </c>
      <c r="E50" s="68">
        <f>'Chittagong Healthcare'!F10</f>
        <v>700</v>
      </c>
      <c r="F50" s="68" t="str">
        <f>IFERROR(INDEX('Item Mapping'!$B$2:$B$31,MATCH(C50,'Item Mapping'!$A$2:$A$31,0)),"UNMAPPED")</f>
        <v>ITEM02</v>
      </c>
    </row>
    <row r="51" spans="1:6" x14ac:dyDescent="0.25">
      <c r="A51" s="68" t="s">
        <v>19</v>
      </c>
      <c r="B51" s="68" t="s">
        <v>74</v>
      </c>
      <c r="C51" s="68" t="str">
        <f>'Chittagong Healthcare'!D11</f>
        <v>Central Vanous Cather 7Fr-13cm</v>
      </c>
      <c r="D51" s="68">
        <f>'Chittagong Healthcare'!E11</f>
        <v>40</v>
      </c>
      <c r="E51" s="68">
        <f>'Chittagong Healthcare'!F11</f>
        <v>1200</v>
      </c>
      <c r="F51" s="68" t="str">
        <f>IFERROR(INDEX('Item Mapping'!$B$2:$B$31,MATCH(C51,'Item Mapping'!$A$2:$A$31,0)),"UNMAPPED")</f>
        <v>ITEM13</v>
      </c>
    </row>
    <row r="52" spans="1:6" x14ac:dyDescent="0.25">
      <c r="A52" s="68" t="s">
        <v>19</v>
      </c>
      <c r="B52" s="68" t="s">
        <v>74</v>
      </c>
      <c r="C52" s="68" t="str">
        <f>'Chittagong Healthcare'!D12</f>
        <v>Hemodialysis Cather 12Fr-20cm</v>
      </c>
      <c r="D52" s="68">
        <f>'Chittagong Healthcare'!E12</f>
        <v>40</v>
      </c>
      <c r="E52" s="68">
        <f>'Chittagong Healthcare'!F12</f>
        <v>1400</v>
      </c>
      <c r="F52" s="68" t="str">
        <f>IFERROR(INDEX('Item Mapping'!$B$2:$B$31,MATCH(C52,'Item Mapping'!$A$2:$A$31,0)),"UNMAPPED")</f>
        <v>ITEM13</v>
      </c>
    </row>
    <row r="53" spans="1:6" x14ac:dyDescent="0.25">
      <c r="A53" s="68" t="s">
        <v>19</v>
      </c>
      <c r="B53" s="68" t="s">
        <v>74</v>
      </c>
      <c r="C53" s="68" t="str">
        <f>'Chittagong Healthcare'!D13</f>
        <v>AV Fistula Needle for Hemodialysis</v>
      </c>
      <c r="D53" s="68">
        <f>'Chittagong Healthcare'!E13</f>
        <v>500</v>
      </c>
      <c r="E53" s="68">
        <f>'Chittagong Healthcare'!F13</f>
        <v>55</v>
      </c>
      <c r="F53" s="68" t="str">
        <f>IFERROR(INDEX('Item Mapping'!$B$2:$B$31,MATCH(C53,'Item Mapping'!$A$2:$A$31,0)),"UNMAPPED")</f>
        <v>ITEM11</v>
      </c>
    </row>
    <row r="54" spans="1:6" x14ac:dyDescent="0.25">
      <c r="A54" s="68" t="s">
        <v>20</v>
      </c>
      <c r="B54" s="68" t="s">
        <v>77</v>
      </c>
      <c r="C54" s="68" t="str">
        <f>'Happy Life Pharmacy'!E13</f>
        <v>Dialyzer 1.5H</v>
      </c>
      <c r="D54" s="68">
        <f>'Happy Life Pharmacy'!F13</f>
        <v>30</v>
      </c>
      <c r="E54" s="68">
        <f>'Happy Life Pharmacy'!G13</f>
        <v>700</v>
      </c>
      <c r="F54" s="68" t="str">
        <f>IFERROR(INDEX('Item Mapping'!$B$2:$B$31,MATCH(C54,'Item Mapping'!$A$2:$A$31,0)),"UNMAPPED")</f>
        <v>ITEM03</v>
      </c>
    </row>
    <row r="55" spans="1:6" x14ac:dyDescent="0.25">
      <c r="A55" s="68" t="s">
        <v>20</v>
      </c>
      <c r="B55" s="68" t="s">
        <v>77</v>
      </c>
      <c r="C55" s="68" t="str">
        <f>'Happy Life Pharmacy'!E14</f>
        <v>Blood Line Sets</v>
      </c>
      <c r="D55" s="68">
        <f>'Happy Life Pharmacy'!F14</f>
        <v>30</v>
      </c>
      <c r="E55" s="68">
        <f>'Happy Life Pharmacy'!G14</f>
        <v>230</v>
      </c>
      <c r="F55" s="68" t="str">
        <f>IFERROR(INDEX('Item Mapping'!$B$2:$B$31,MATCH(C55,'Item Mapping'!$A$2:$A$31,0)),"UNMAPPED")</f>
        <v>ITEM10</v>
      </c>
    </row>
    <row r="56" spans="1:6" x14ac:dyDescent="0.25">
      <c r="A56" s="68" t="s">
        <v>21</v>
      </c>
      <c r="B56" s="68" t="s">
        <v>77</v>
      </c>
      <c r="C56" s="68" t="str">
        <f>'Royal Medical'!D5</f>
        <v>Dialyzer 1.5L</v>
      </c>
      <c r="D56" s="68">
        <f>'Royal Medical'!E5</f>
        <v>30</v>
      </c>
      <c r="E56" s="68">
        <f>'Royal Medical'!F5</f>
        <v>680</v>
      </c>
      <c r="F56" s="68" t="str">
        <f>IFERROR(INDEX('Item Mapping'!$B$2:$B$31,MATCH(C56,'Item Mapping'!$A$2:$A$31,0)),"UNMAPPED")</f>
        <v>ITEM04</v>
      </c>
    </row>
    <row r="57" spans="1:6" x14ac:dyDescent="0.25">
      <c r="A57" s="68" t="s">
        <v>22</v>
      </c>
      <c r="B57" s="68" t="s">
        <v>77</v>
      </c>
      <c r="C57" s="68" t="str">
        <f>'USB Hospital Uttara'!E5</f>
        <v>Catheter/C.V. Line</v>
      </c>
      <c r="D57" s="68">
        <f>'USB Hospital Uttara'!F6</f>
        <v>0</v>
      </c>
      <c r="E57" s="68">
        <f>'USB Hospital Uttara'!G6</f>
        <v>0</v>
      </c>
      <c r="F57" s="68" t="str">
        <f>IFERROR(INDEX('Item Mapping'!$B$2:$B$31,MATCH(C57,'Item Mapping'!$A$2:$A$31,0)),"UNMAPPED")</f>
        <v>ITEM13</v>
      </c>
    </row>
    <row r="58" spans="1:6" x14ac:dyDescent="0.25">
      <c r="A58" s="68" t="s">
        <v>23</v>
      </c>
      <c r="B58" s="68" t="s">
        <v>77</v>
      </c>
      <c r="C58" s="68" t="str">
        <f>'Asha International'!E5</f>
        <v>Blood Line Sets</v>
      </c>
      <c r="D58" s="68">
        <f>'Asha International'!F5</f>
        <v>740</v>
      </c>
      <c r="E58" s="68">
        <f>'Asha International'!G5</f>
        <v>500</v>
      </c>
      <c r="F58" s="68" t="str">
        <f>IFERROR(INDEX('Item Mapping'!$B$2:$B$31,MATCH(C58,'Item Mapping'!$A$2:$A$31,0)),"UNMAPPED")</f>
        <v>ITEM10</v>
      </c>
    </row>
    <row r="59" spans="1:6" x14ac:dyDescent="0.25">
      <c r="A59" s="68" t="s">
        <v>23</v>
      </c>
      <c r="B59" s="68" t="s">
        <v>77</v>
      </c>
      <c r="C59" s="68" t="str">
        <f>'Asha International'!E6</f>
        <v>Catheter</v>
      </c>
      <c r="D59" s="68">
        <f>'Asha International'!F6</f>
        <v>250</v>
      </c>
      <c r="E59" s="68">
        <f>'Asha International'!G6</f>
        <v>500</v>
      </c>
      <c r="F59" s="68" t="str">
        <f>IFERROR(INDEX('Item Mapping'!$B$2:$B$31,MATCH(C59,'Item Mapping'!$A$2:$A$31,0)),"UNMAPPED")</f>
        <v>ITEM13</v>
      </c>
    </row>
    <row r="60" spans="1:6" x14ac:dyDescent="0.25">
      <c r="A60" s="68" t="s">
        <v>24</v>
      </c>
      <c r="B60" s="68" t="s">
        <v>92</v>
      </c>
      <c r="C60" s="68" t="str">
        <f>'Star Surgical'!E6</f>
        <v>Blood Line Sets</v>
      </c>
      <c r="D60" s="68">
        <f>'Star Surgical'!F6</f>
        <v>60</v>
      </c>
      <c r="E60" s="68">
        <f>'Star Surgical'!G6</f>
        <v>230</v>
      </c>
      <c r="F60" s="68" t="str">
        <f>IFERROR(INDEX('Item Mapping'!$B$2:$B$31,MATCH(C60,'Item Mapping'!$A$2:$A$31,0)),"UNMAPPED")</f>
        <v>ITEM10</v>
      </c>
    </row>
    <row r="61" spans="1:6" x14ac:dyDescent="0.25">
      <c r="A61" s="68" t="s">
        <v>24</v>
      </c>
      <c r="B61" s="68" t="s">
        <v>92</v>
      </c>
      <c r="C61" s="68" t="str">
        <f>'Star Surgical'!E7</f>
        <v>Dialyzer 1.5H</v>
      </c>
      <c r="D61" s="68">
        <f>'Star Surgical'!F7</f>
        <v>30</v>
      </c>
      <c r="E61" s="68">
        <f>'Star Surgical'!G7</f>
        <v>720</v>
      </c>
      <c r="F61" s="68" t="str">
        <f>IFERROR(INDEX('Item Mapping'!$B$2:$B$31,MATCH(C61,'Item Mapping'!$A$2:$A$31,0)),"UNMAPPED")</f>
        <v>ITEM03</v>
      </c>
    </row>
    <row r="62" spans="1:6" x14ac:dyDescent="0.25">
      <c r="A62" s="68" t="s">
        <v>26</v>
      </c>
      <c r="B62" s="68" t="s">
        <v>92</v>
      </c>
      <c r="C62" s="68" t="str">
        <f>'Bulbul Surgical'!F6</f>
        <v>Blood Line Sets</v>
      </c>
      <c r="D62" s="68">
        <f>'Bulbul Surgical'!G6</f>
        <v>60</v>
      </c>
      <c r="E62" s="68">
        <f>'Bulbul Surgical'!H6</f>
        <v>225</v>
      </c>
      <c r="F62" s="68" t="str">
        <f>IFERROR(INDEX('Item Mapping'!$B$2:$B$31,MATCH(C62,'Item Mapping'!$A$2:$A$31,0)),"UNMAPPED")</f>
        <v>ITEM10</v>
      </c>
    </row>
    <row r="63" spans="1:6" x14ac:dyDescent="0.25">
      <c r="A63" s="68" t="s">
        <v>116</v>
      </c>
      <c r="B63" s="68" t="s">
        <v>92</v>
      </c>
      <c r="C63" s="68" t="str">
        <f>'Suzon Pharma (Rang)'!F8</f>
        <v>Dialyzer 1.5H</v>
      </c>
      <c r="D63" s="68">
        <f>'Suzon Pharma (Rang)'!G8</f>
        <v>30</v>
      </c>
      <c r="E63" s="68">
        <f>'Suzon Pharma (Rang)'!H8</f>
        <v>700</v>
      </c>
      <c r="F63" s="68" t="str">
        <f>IFERROR(INDEX('Item Mapping'!$B$2:$B$31,MATCH(C63,'Item Mapping'!$A$2:$A$31,0)),"UNMAPPED")</f>
        <v>ITEM03</v>
      </c>
    </row>
    <row r="64" spans="1:6" x14ac:dyDescent="0.25">
      <c r="A64" s="68" t="s">
        <v>28</v>
      </c>
      <c r="B64" s="68" t="s">
        <v>92</v>
      </c>
      <c r="C64" s="68" t="str">
        <f>'SH Pharma'!E4</f>
        <v>Blood Line Sets</v>
      </c>
      <c r="D64" s="68">
        <f>'SH Pharma'!F4</f>
        <v>150</v>
      </c>
      <c r="E64" s="68">
        <f>'SH Pharma'!G4</f>
        <v>200</v>
      </c>
      <c r="F64" s="68" t="str">
        <f>IFERROR(INDEX('Item Mapping'!$B$2:$B$31,MATCH(C64,'Item Mapping'!$A$2:$A$31,0)),"UNMAPPED")</f>
        <v>ITEM10</v>
      </c>
    </row>
    <row r="65" spans="1:6" x14ac:dyDescent="0.25">
      <c r="A65" s="68" t="s">
        <v>29</v>
      </c>
      <c r="B65" s="68" t="s">
        <v>77</v>
      </c>
      <c r="C65" s="68" t="str">
        <f>'Mitfort Hospital'!F7</f>
        <v>Dialyzer 1.8H</v>
      </c>
      <c r="D65" s="68">
        <f>'Mitfort Hospital'!G7</f>
        <v>150</v>
      </c>
      <c r="E65" s="68">
        <f>'Mitfort Hospital'!K7</f>
        <v>93000</v>
      </c>
      <c r="F65" s="68" t="str">
        <f>'Item Mapping'!B29</f>
        <v>ITEM07</v>
      </c>
    </row>
    <row r="66" spans="1:6" x14ac:dyDescent="0.25">
      <c r="A66" s="68" t="s">
        <v>29</v>
      </c>
      <c r="B66" s="68" t="s">
        <v>77</v>
      </c>
      <c r="C66" s="68" t="str">
        <f>'Mitfort Hospital'!F8</f>
        <v>Dialyzer 1.7H</v>
      </c>
      <c r="D66" s="68">
        <f>'Mitfort Hospital'!G8</f>
        <v>538</v>
      </c>
      <c r="E66" s="68">
        <f>'Mitfort Hospital'!K8</f>
        <v>333560</v>
      </c>
      <c r="F66" s="68" t="str">
        <f>IFERROR(INDEX('Item Mapping'!$B$2:$B$31,MATCH(C66,'Item Mapping'!$A$2:$A$31,0)),"UNMAPPED")</f>
        <v>ITEM01</v>
      </c>
    </row>
    <row r="67" spans="1:6" x14ac:dyDescent="0.25">
      <c r="A67" s="68" t="s">
        <v>29</v>
      </c>
      <c r="B67" s="68" t="s">
        <v>77</v>
      </c>
      <c r="C67" s="68" t="str">
        <f>'Mitfort Hospital'!F9</f>
        <v>Dialyzer 1.7H</v>
      </c>
      <c r="D67" s="68">
        <f>'Mitfort Hospital'!G9</f>
        <v>598</v>
      </c>
      <c r="E67" s="68">
        <f>'Mitfort Hospital'!K9</f>
        <v>370760</v>
      </c>
      <c r="F67" s="68" t="str">
        <f>IFERROR(INDEX('Item Mapping'!$B$2:$B$31,MATCH(C67,'Item Mapping'!$A$2:$A$31,0)),"UNMAPPED")</f>
        <v>ITEM01</v>
      </c>
    </row>
    <row r="68" spans="1:6" x14ac:dyDescent="0.25">
      <c r="A68" s="68" t="s">
        <v>29</v>
      </c>
      <c r="B68" s="68" t="s">
        <v>77</v>
      </c>
      <c r="C68" s="68" t="str">
        <f>'Mitfort Hospital'!F10</f>
        <v>Dialyzer 1.7L</v>
      </c>
      <c r="D68" s="68">
        <f>'Mitfort Hospital'!G10</f>
        <v>570</v>
      </c>
      <c r="E68" s="68">
        <f>'Mitfort Hospital'!K10</f>
        <v>353400</v>
      </c>
      <c r="F68" s="68" t="str">
        <f>IFERROR(INDEX('Item Mapping'!$B$2:$B$31,MATCH(C68,'Item Mapping'!$A$2:$A$31,0)),"UNMAPPED")</f>
        <v>ITEM02</v>
      </c>
    </row>
    <row r="69" spans="1:6" x14ac:dyDescent="0.25">
      <c r="A69" s="68" t="s">
        <v>29</v>
      </c>
      <c r="B69" s="68" t="s">
        <v>77</v>
      </c>
      <c r="C69" s="68" t="str">
        <f>'Mitfort Hospital'!F11</f>
        <v>Dialyzer  1.6L</v>
      </c>
      <c r="D69" s="68">
        <f>'Mitfort Hospital'!G11</f>
        <v>30</v>
      </c>
      <c r="E69" s="68">
        <f>'Mitfort Hospital'!K11</f>
        <v>18600</v>
      </c>
      <c r="F69" s="68" t="str">
        <f>IFERROR(INDEX('Item Mapping'!$B$2:$B$31,MATCH(C69,'Item Mapping'!$A$2:$A$31,0)),"UNMAPPED")</f>
        <v>ITEM06</v>
      </c>
    </row>
    <row r="70" spans="1:6" x14ac:dyDescent="0.25">
      <c r="A70" s="68" t="s">
        <v>29</v>
      </c>
      <c r="B70" s="68" t="s">
        <v>77</v>
      </c>
      <c r="C70" s="68" t="str">
        <f>'Mitfort Hospital'!F14</f>
        <v>Dialyzer 1.6H</v>
      </c>
      <c r="D70" s="68">
        <f>'Mitfort Hospital'!G14</f>
        <v>120</v>
      </c>
      <c r="E70" s="68">
        <f>'Mitfort Hospital'!K14</f>
        <v>74400</v>
      </c>
      <c r="F70" s="68" t="str">
        <f>IFERROR(INDEX('Item Mapping'!$B$2:$B$31,MATCH(C70,'Item Mapping'!$A$2:$A$31,0)),"UNMAPPED")</f>
        <v>ITEM05</v>
      </c>
    </row>
    <row r="71" spans="1:6" x14ac:dyDescent="0.25">
      <c r="A71" s="68" t="s">
        <v>29</v>
      </c>
      <c r="B71" s="68" t="s">
        <v>77</v>
      </c>
      <c r="C71" s="68" t="str">
        <f>'Mitfort Hospital'!F16</f>
        <v>Dialyzer</v>
      </c>
      <c r="D71" s="68">
        <f>'Mitfort Hospital'!G16</f>
        <v>210</v>
      </c>
      <c r="E71" s="68">
        <f>'Mitfort Hospital'!K16</f>
        <v>130200</v>
      </c>
      <c r="F71" s="68" t="str">
        <f>IFERROR(INDEX('Item Mapping'!$B$2:$B$31,MATCH(C71,'Item Mapping'!$A$2:$A$31,0)),"UNMAPPED")</f>
        <v>ITEM09</v>
      </c>
    </row>
  </sheetData>
  <pageMargins left="0.75" right="0.75" top="1" bottom="1" header="0.511811023622047" footer="0.511811023622047"/>
  <pageSetup paperSize="9" orientation="portrait" horizontalDpi="300" verticalDpi="30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C32"/>
  <sheetViews>
    <sheetView topLeftCell="A25" zoomScaleNormal="100" workbookViewId="0">
      <selection activeCell="C21" sqref="C21"/>
    </sheetView>
  </sheetViews>
  <sheetFormatPr defaultColWidth="8.7109375" defaultRowHeight="15" x14ac:dyDescent="0.25"/>
  <cols>
    <col min="1" max="1" width="42" customWidth="1"/>
    <col min="3" max="3" width="30" customWidth="1"/>
  </cols>
  <sheetData>
    <row r="1" spans="1:3" x14ac:dyDescent="0.25">
      <c r="A1" s="67" t="s">
        <v>117</v>
      </c>
      <c r="B1" s="67" t="s">
        <v>32</v>
      </c>
      <c r="C1" s="67" t="s">
        <v>118</v>
      </c>
    </row>
    <row r="2" spans="1:3" x14ac:dyDescent="0.25">
      <c r="A2" s="69" t="s">
        <v>55</v>
      </c>
      <c r="B2" s="69" t="s">
        <v>54</v>
      </c>
      <c r="C2" s="69" t="s">
        <v>55</v>
      </c>
    </row>
    <row r="3" spans="1:3" x14ac:dyDescent="0.25">
      <c r="A3" s="69" t="s">
        <v>57</v>
      </c>
      <c r="B3" s="69" t="s">
        <v>56</v>
      </c>
      <c r="C3" s="69" t="s">
        <v>57</v>
      </c>
    </row>
    <row r="4" spans="1:3" x14ac:dyDescent="0.25">
      <c r="A4" s="69" t="s">
        <v>82</v>
      </c>
      <c r="B4" s="69" t="s">
        <v>54</v>
      </c>
      <c r="C4" s="69" t="s">
        <v>55</v>
      </c>
    </row>
    <row r="5" spans="1:3" x14ac:dyDescent="0.25">
      <c r="A5" s="69" t="s">
        <v>119</v>
      </c>
      <c r="B5" s="69" t="s">
        <v>52</v>
      </c>
      <c r="C5" s="69" t="s">
        <v>53</v>
      </c>
    </row>
    <row r="6" spans="1:3" x14ac:dyDescent="0.25">
      <c r="A6" s="69" t="s">
        <v>53</v>
      </c>
      <c r="B6" s="69" t="s">
        <v>52</v>
      </c>
      <c r="C6" s="69" t="s">
        <v>53</v>
      </c>
    </row>
    <row r="7" spans="1:3" x14ac:dyDescent="0.25">
      <c r="A7" s="69" t="s">
        <v>120</v>
      </c>
      <c r="B7" s="69" t="s">
        <v>52</v>
      </c>
      <c r="C7" s="69" t="s">
        <v>53</v>
      </c>
    </row>
    <row r="8" spans="1:3" x14ac:dyDescent="0.25">
      <c r="A8" s="69" t="s">
        <v>96</v>
      </c>
      <c r="B8" s="69" t="s">
        <v>52</v>
      </c>
      <c r="C8" s="69" t="s">
        <v>53</v>
      </c>
    </row>
    <row r="9" spans="1:3" x14ac:dyDescent="0.25">
      <c r="A9" s="69" t="s">
        <v>85</v>
      </c>
      <c r="B9" s="69" t="s">
        <v>52</v>
      </c>
      <c r="C9" s="69" t="s">
        <v>53</v>
      </c>
    </row>
    <row r="10" spans="1:3" x14ac:dyDescent="0.25">
      <c r="A10" s="69" t="s">
        <v>100</v>
      </c>
      <c r="B10" s="69" t="s">
        <v>52</v>
      </c>
      <c r="C10" s="69" t="s">
        <v>53</v>
      </c>
    </row>
    <row r="11" spans="1:3" x14ac:dyDescent="0.25">
      <c r="A11" s="69" t="s">
        <v>121</v>
      </c>
      <c r="B11" s="69" t="s">
        <v>58</v>
      </c>
      <c r="C11" s="69" t="s">
        <v>122</v>
      </c>
    </row>
    <row r="12" spans="1:3" x14ac:dyDescent="0.25">
      <c r="A12" s="69" t="s">
        <v>59</v>
      </c>
      <c r="B12" s="69" t="s">
        <v>58</v>
      </c>
      <c r="C12" s="69" t="s">
        <v>122</v>
      </c>
    </row>
    <row r="13" spans="1:3" x14ac:dyDescent="0.25">
      <c r="A13" s="69" t="s">
        <v>104</v>
      </c>
      <c r="B13" s="69" t="s">
        <v>58</v>
      </c>
      <c r="C13" s="69" t="s">
        <v>122</v>
      </c>
    </row>
    <row r="14" spans="1:3" x14ac:dyDescent="0.25">
      <c r="A14" s="69" t="s">
        <v>72</v>
      </c>
      <c r="B14" s="69" t="s">
        <v>58</v>
      </c>
      <c r="C14" s="69" t="s">
        <v>122</v>
      </c>
    </row>
    <row r="15" spans="1:3" x14ac:dyDescent="0.25">
      <c r="A15" s="69" t="s">
        <v>50</v>
      </c>
      <c r="B15" s="69" t="s">
        <v>49</v>
      </c>
      <c r="C15" s="69" t="s">
        <v>123</v>
      </c>
    </row>
    <row r="16" spans="1:3" x14ac:dyDescent="0.25">
      <c r="A16" s="69" t="s">
        <v>40</v>
      </c>
      <c r="B16" s="69" t="s">
        <v>39</v>
      </c>
      <c r="C16" s="69" t="s">
        <v>40</v>
      </c>
    </row>
    <row r="17" spans="1:3" x14ac:dyDescent="0.25">
      <c r="A17" s="69" t="s">
        <v>42</v>
      </c>
      <c r="B17" s="69" t="s">
        <v>41</v>
      </c>
      <c r="C17" s="69" t="s">
        <v>42</v>
      </c>
    </row>
    <row r="18" spans="1:3" x14ac:dyDescent="0.25">
      <c r="A18" s="69" t="s">
        <v>44</v>
      </c>
      <c r="B18" s="69" t="s">
        <v>43</v>
      </c>
      <c r="C18" s="69" t="s">
        <v>44</v>
      </c>
    </row>
    <row r="19" spans="1:3" x14ac:dyDescent="0.25">
      <c r="A19" s="69" t="s">
        <v>46</v>
      </c>
      <c r="B19" s="69" t="s">
        <v>45</v>
      </c>
      <c r="C19" s="69" t="s">
        <v>46</v>
      </c>
    </row>
    <row r="20" spans="1:3" x14ac:dyDescent="0.25">
      <c r="A20" s="69" t="s">
        <v>36</v>
      </c>
      <c r="B20" s="69" t="s">
        <v>35</v>
      </c>
      <c r="C20" s="69" t="s">
        <v>36</v>
      </c>
    </row>
    <row r="21" spans="1:3" x14ac:dyDescent="0.25">
      <c r="A21" s="69" t="s">
        <v>38</v>
      </c>
      <c r="B21" s="69" t="s">
        <v>37</v>
      </c>
      <c r="C21" s="69" t="s">
        <v>38</v>
      </c>
    </row>
    <row r="22" spans="1:3" x14ac:dyDescent="0.25">
      <c r="A22" s="69" t="s">
        <v>78</v>
      </c>
      <c r="B22" s="69" t="s">
        <v>51</v>
      </c>
      <c r="C22" s="69" t="s">
        <v>124</v>
      </c>
    </row>
    <row r="23" spans="1:3" x14ac:dyDescent="0.25">
      <c r="A23" s="69" t="s">
        <v>84</v>
      </c>
      <c r="B23" s="69" t="s">
        <v>41</v>
      </c>
      <c r="C23" s="69" t="s">
        <v>42</v>
      </c>
    </row>
    <row r="24" spans="1:3" x14ac:dyDescent="0.25">
      <c r="A24" s="69" t="s">
        <v>83</v>
      </c>
      <c r="B24" s="69" t="s">
        <v>39</v>
      </c>
      <c r="C24" s="69" t="s">
        <v>40</v>
      </c>
    </row>
    <row r="25" spans="1:3" x14ac:dyDescent="0.25">
      <c r="A25" s="69" t="s">
        <v>101</v>
      </c>
      <c r="B25" s="69" t="s">
        <v>35</v>
      </c>
      <c r="C25" s="69" t="s">
        <v>36</v>
      </c>
    </row>
    <row r="26" spans="1:3" x14ac:dyDescent="0.25">
      <c r="A26" s="69" t="s">
        <v>102</v>
      </c>
      <c r="B26" s="69" t="s">
        <v>37</v>
      </c>
      <c r="C26" s="69" t="s">
        <v>38</v>
      </c>
    </row>
    <row r="27" spans="1:3" x14ac:dyDescent="0.25">
      <c r="A27" s="69" t="s">
        <v>125</v>
      </c>
      <c r="B27" s="69" t="s">
        <v>58</v>
      </c>
      <c r="C27" s="69" t="s">
        <v>122</v>
      </c>
    </row>
    <row r="28" spans="1:3" x14ac:dyDescent="0.25">
      <c r="A28" s="69" t="s">
        <v>103</v>
      </c>
      <c r="B28" s="69" t="s">
        <v>58</v>
      </c>
      <c r="C28" s="69" t="s">
        <v>122</v>
      </c>
    </row>
    <row r="29" spans="1:3" x14ac:dyDescent="0.25">
      <c r="A29" t="s">
        <v>126</v>
      </c>
      <c r="B29" t="s">
        <v>47</v>
      </c>
      <c r="C29" t="s">
        <v>48</v>
      </c>
    </row>
    <row r="30" spans="1:3" x14ac:dyDescent="0.25">
      <c r="A30" s="69" t="s">
        <v>127</v>
      </c>
      <c r="B30" s="69" t="s">
        <v>35</v>
      </c>
      <c r="C30" s="69" t="s">
        <v>36</v>
      </c>
    </row>
    <row r="31" spans="1:3" x14ac:dyDescent="0.25">
      <c r="A31" s="69" t="s">
        <v>107</v>
      </c>
      <c r="B31" s="69" t="s">
        <v>45</v>
      </c>
      <c r="C31" s="69" t="s">
        <v>46</v>
      </c>
    </row>
    <row r="32" spans="1:3" x14ac:dyDescent="0.25">
      <c r="A32" s="70" t="s">
        <v>128</v>
      </c>
    </row>
  </sheetData>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31</vt:i4>
      </vt:variant>
    </vt:vector>
  </HeadingPairs>
  <TitlesOfParts>
    <vt:vector size="31" baseType="lpstr">
      <vt:lpstr>Sales Statement</vt:lpstr>
      <vt:lpstr>Products Delivery</vt:lpstr>
      <vt:lpstr>ARK Hospital</vt:lpstr>
      <vt:lpstr>Bismillah Surgical</vt:lpstr>
      <vt:lpstr>Popular Medcine &amp; Departmental </vt:lpstr>
      <vt:lpstr>Kuwait Moitri Hospital</vt:lpstr>
      <vt:lpstr>VIP PHARMA-HAZI PHARMA</vt:lpstr>
      <vt:lpstr>Mr. Afjal</vt:lpstr>
      <vt:lpstr>AR Medi Corporation</vt:lpstr>
      <vt:lpstr>SG Pharma Shamoly</vt:lpstr>
      <vt:lpstr>Onima Medical</vt:lpstr>
      <vt:lpstr>Rahman Pharma</vt:lpstr>
      <vt:lpstr>Norshingdi Pharma</vt:lpstr>
      <vt:lpstr>MA Pharmacy</vt:lpstr>
      <vt:lpstr>Life Surgical</vt:lpstr>
      <vt:lpstr>Chittagong Healthcare</vt:lpstr>
      <vt:lpstr>Happy Life Pharmacy</vt:lpstr>
      <vt:lpstr>Royal Medical</vt:lpstr>
      <vt:lpstr>USB Hospital Uttara</vt:lpstr>
      <vt:lpstr>Asha International</vt:lpstr>
      <vt:lpstr>Star Surgical</vt:lpstr>
      <vt:lpstr>Sylhet Pharma</vt:lpstr>
      <vt:lpstr>Bulbul Surgical</vt:lpstr>
      <vt:lpstr>Suzon Pharma (Rang)</vt:lpstr>
      <vt:lpstr>SH Pharma</vt:lpstr>
      <vt:lpstr>Mymen. Sayem Diagnostic Center</vt:lpstr>
      <vt:lpstr>Mitfort Hospital</vt:lpstr>
      <vt:lpstr>Sonu Pharma</vt:lpstr>
      <vt:lpstr>Insaf Baraka Foundation</vt:lpstr>
      <vt:lpstr>Data</vt:lpstr>
      <vt:lpstr>Item Mapping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2005009 - Ahmmad Nur Swapnil</cp:lastModifiedBy>
  <cp:revision>0</cp:revision>
  <dcterms:created xsi:type="dcterms:W3CDTF">2026-07-23T06:44:03Z</dcterms:created>
  <dcterms:modified xsi:type="dcterms:W3CDTF">2026-08-21T18:11:16Z</dcterms:modified>
  <dc:language>en-US</dc:language>
</cp:coreProperties>
</file>