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F73E7AB0-A86D-CB4F-8788-2A08B3279299}" xr6:coauthVersionLast="47" xr6:coauthVersionMax="47" xr10:uidLastSave="{00000000-0000-0000-0000-000000000000}"/>
  <bookViews>
    <workbookView xWindow="0" yWindow="500" windowWidth="28800" windowHeight="16140" activeTab="1" xr2:uid="{00000000-000D-0000-FFFF-FFFF00000000}"/>
  </bookViews>
  <sheets>
    <sheet name="Dashboard &amp; Summary Overview" sheetId="1" r:id="rId1"/>
    <sheet name="Landed costs " sheetId="5" r:id="rId2"/>
    <sheet name="Purchase Order &amp; Landed Cost" sheetId="2" r:id="rId3"/>
    <sheet name="Warehouse Inventory Management" sheetId="3" r:id="rId4"/>
    <sheet name="Sales Tracking &amp; Reven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5" l="1"/>
  <c r="O6" i="5"/>
  <c r="Q6" i="5" s="1"/>
  <c r="S5" i="5"/>
  <c r="T5" i="5" s="1"/>
  <c r="Q5" i="5"/>
  <c r="O5" i="5"/>
  <c r="U5" i="5" s="1"/>
  <c r="S4" i="5"/>
  <c r="S7" i="5" s="1"/>
  <c r="O4" i="5"/>
  <c r="Q4" i="5" s="1"/>
  <c r="Q7" i="5" s="1"/>
  <c r="G8" i="4"/>
  <c r="J7" i="4"/>
  <c r="J6" i="4"/>
  <c r="J5" i="4"/>
  <c r="J4" i="4"/>
  <c r="J8" i="4" s="1"/>
  <c r="D6" i="3"/>
  <c r="C6" i="3"/>
  <c r="E6" i="3" s="1"/>
  <c r="D5" i="3"/>
  <c r="E5" i="3" s="1"/>
  <c r="C5" i="3"/>
  <c r="F4" i="3"/>
  <c r="F6" i="4" s="1"/>
  <c r="D4" i="3"/>
  <c r="D7" i="3" s="1"/>
  <c r="C4" i="3"/>
  <c r="C7" i="3" s="1"/>
  <c r="O7" i="2"/>
  <c r="P6" i="2"/>
  <c r="N6" i="2"/>
  <c r="F6" i="3" s="1"/>
  <c r="F7" i="4" s="1"/>
  <c r="N5" i="2"/>
  <c r="F5" i="3" s="1"/>
  <c r="F5" i="4" s="1"/>
  <c r="P4" i="2"/>
  <c r="N4" i="2"/>
  <c r="B6" i="1"/>
  <c r="B5" i="1"/>
  <c r="T6" i="5" l="1"/>
  <c r="U6" i="5"/>
  <c r="T4" i="5"/>
  <c r="U4" i="5"/>
  <c r="I5" i="4"/>
  <c r="K5" i="4"/>
  <c r="G5" i="3"/>
  <c r="L5" i="4"/>
  <c r="K7" i="4"/>
  <c r="I7" i="4"/>
  <c r="G6" i="3"/>
  <c r="L6" i="4"/>
  <c r="I6" i="4"/>
  <c r="K6" i="4"/>
  <c r="L7" i="4"/>
  <c r="B7" i="1" s="1"/>
  <c r="F4" i="4"/>
  <c r="E4" i="3"/>
  <c r="P5" i="2"/>
  <c r="P7" i="2" s="1"/>
  <c r="T7" i="5" l="1"/>
  <c r="E7" i="3"/>
  <c r="B9" i="1" s="1"/>
  <c r="G4" i="3"/>
  <c r="G7" i="3" s="1"/>
  <c r="B8" i="1" s="1"/>
  <c r="K4" i="4"/>
  <c r="I4" i="4"/>
  <c r="I8" i="4" l="1"/>
  <c r="L4" i="4"/>
  <c r="L8" i="4" s="1"/>
</calcChain>
</file>

<file path=xl/sharedStrings.xml><?xml version="1.0" encoding="utf-8"?>
<sst xmlns="http://schemas.openxmlformats.org/spreadsheetml/2006/main" count="142" uniqueCount="86">
  <si>
    <t>BUSINESS PERFORMANCE DASHBOARD</t>
  </si>
  <si>
    <t>Financial &amp; Inventory Health Summary (Real-Time)</t>
  </si>
  <si>
    <t>Metric KPI</t>
  </si>
  <si>
    <t>Value</t>
  </si>
  <si>
    <t>Source Reference Summary</t>
  </si>
  <si>
    <t>Total Value of Products Procured (Landed Cost)</t>
  </si>
  <si>
    <t>Total operational expenditure deployed for imports</t>
  </si>
  <si>
    <t>Total Sales Revenue Realized</t>
  </si>
  <si>
    <t>Gross sales receipts from product distributions</t>
  </si>
  <si>
    <t>Total Estimated Gross Profit</t>
  </si>
  <si>
    <t>Cumulative profit before accounting operational deductions</t>
  </si>
  <si>
    <t>Total Capital Currently Tied in Warehouse Inventory</t>
  </si>
  <si>
    <t>Current value of asset stock sitting in the warehouse</t>
  </si>
  <si>
    <t>Total Units Currently in Stock</t>
  </si>
  <si>
    <t>Sum total of items physically present across all SKUs</t>
  </si>
  <si>
    <t>PURCHASE ORDER &amp; ACCURATE LANDED COST LOG</t>
  </si>
  <si>
    <t>PO Number</t>
  </si>
  <si>
    <t>Consignment No</t>
  </si>
  <si>
    <t>LC/TT Number</t>
  </si>
  <si>
    <t>Date</t>
  </si>
  <si>
    <t>Product Name</t>
  </si>
  <si>
    <t>Product Code</t>
  </si>
  <si>
    <t>Purchase/U (FOB)</t>
  </si>
  <si>
    <t>Sea Freight/U</t>
  </si>
  <si>
    <t>Customs Duty/U</t>
  </si>
  <si>
    <t>C&amp;F Cost/U</t>
  </si>
  <si>
    <t>Local Transport/U</t>
  </si>
  <si>
    <t>Bank LC &amp; Ins/U</t>
  </si>
  <si>
    <t>Labour/U</t>
  </si>
  <si>
    <t>Total Landed Cost/U</t>
  </si>
  <si>
    <t>QTY Ordered</t>
  </si>
  <si>
    <t>Total Cost/Shipment</t>
  </si>
  <si>
    <t>Initial Sale Price/U</t>
  </si>
  <si>
    <t>PO-2026-001</t>
  </si>
  <si>
    <t>CN-9982</t>
  </si>
  <si>
    <t>LC-77612</t>
  </si>
  <si>
    <t>2026-06-24</t>
  </si>
  <si>
    <t>Dialyzer</t>
  </si>
  <si>
    <t>Mip001</t>
  </si>
  <si>
    <t>Blood Tubing Set</t>
  </si>
  <si>
    <t>Mip002</t>
  </si>
  <si>
    <t>A.V Fistula Needle</t>
  </si>
  <si>
    <t>Mip003</t>
  </si>
  <si>
    <t>Total Summary</t>
  </si>
  <si>
    <t>DYNAMIC WAREHOUSE INVENTORY CONTROL</t>
  </si>
  <si>
    <t>Total Received QTY</t>
  </si>
  <si>
    <t>Total Sold QTY</t>
  </si>
  <si>
    <t>Current Stock in Hand</t>
  </si>
  <si>
    <t>Unit Landed Cost</t>
  </si>
  <si>
    <t>Total Stock Asset Value</t>
  </si>
  <si>
    <t>SALES LEDGER &amp; REVENUE REALIZATION</t>
  </si>
  <si>
    <t>Invoice No</t>
  </si>
  <si>
    <t>Sales Date</t>
  </si>
  <si>
    <t>Customer Name</t>
  </si>
  <si>
    <t>Unit Landed Cost (COGS)</t>
  </si>
  <si>
    <t>QTY Sold</t>
  </si>
  <si>
    <t>Unit Sale Price</t>
  </si>
  <si>
    <t>Total Cost Amount</t>
  </si>
  <si>
    <t>Total Gross Revenue</t>
  </si>
  <si>
    <t>Profit Margin / Unit</t>
  </si>
  <si>
    <t>Total Profit Realized</t>
  </si>
  <si>
    <t>INV-2026-001</t>
  </si>
  <si>
    <t>2026-06-25</t>
  </si>
  <si>
    <t>Dhaka Medical College Hospital</t>
  </si>
  <si>
    <t>INV-2026-002</t>
  </si>
  <si>
    <t>2026-06-26</t>
  </si>
  <si>
    <t>Popular Hospital Uttara</t>
  </si>
  <si>
    <t>INV-2026-003</t>
  </si>
  <si>
    <t>2026-06-27</t>
  </si>
  <si>
    <t>Labaid Group</t>
  </si>
  <si>
    <t>SHIPMENT LANDED COST &amp; PROFIT MARGIN TRACKER</t>
  </si>
  <si>
    <t>Consignment
Number</t>
  </si>
  <si>
    <t>Purchase/U
(FOB)</t>
  </si>
  <si>
    <t>CBM/U</t>
  </si>
  <si>
    <t>Customs Duty
/U</t>
  </si>
  <si>
    <t>Local
Transport/U</t>
  </si>
  <si>
    <t>Bank LC Fee &amp;
Insurance/U</t>
  </si>
  <si>
    <t>Total Cost/U
(Landed)</t>
  </si>
  <si>
    <t>QTY</t>
  </si>
  <si>
    <t>Total Cost
/Shipment</t>
  </si>
  <si>
    <t>Sale Price/U</t>
  </si>
  <si>
    <t>Total Sale
/Shipment</t>
  </si>
  <si>
    <t>Approx Profit
(Shipment)</t>
  </si>
  <si>
    <t>Profit/Pcs</t>
  </si>
  <si>
    <t>BTS</t>
  </si>
  <si>
    <t>A.V Fistula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</si>
</sst>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b/>
      <sz val="12"/>
      <color rgb="FF1F4E78"/>
      <name val="Segoe UI"/>
    </font>
    <font>
      <b/>
      <sz val="11"/>
      <color rgb="FFFFFFFF"/>
      <name val="Segoe UI"/>
    </font>
    <font>
      <b/>
      <sz val="10"/>
      <name val="Segoe UI"/>
    </font>
    <font>
      <i/>
      <sz val="9"/>
      <color rgb="FF595959"/>
      <name val="Segoe UI"/>
    </font>
    <font>
      <b/>
      <sz val="10"/>
      <color rgb="FF375623"/>
      <name val="Segoe UI"/>
    </font>
    <font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EAEAEA"/>
        <bgColor rgb="FFEAEAEA"/>
      </patternFill>
    </fill>
    <fill>
      <patternFill patternType="solid">
        <fgColor theme="3" tint="0.39997558519241921"/>
        <bgColor rgb="FF1F4E78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4" fillId="3" borderId="1" xfId="0" applyFont="1" applyFill="1" applyBorder="1"/>
    <xf numFmtId="164" fontId="6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/>
    <xf numFmtId="164" fontId="6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4" fillId="0" borderId="2" xfId="0" applyFont="1" applyBorder="1"/>
    <xf numFmtId="0" fontId="0" fillId="0" borderId="2" xfId="0" applyBorder="1"/>
    <xf numFmtId="3" fontId="4" fillId="0" borderId="2" xfId="0" applyNumberFormat="1" applyFont="1" applyBorder="1"/>
    <xf numFmtId="4" fontId="4" fillId="0" borderId="2" xfId="0" applyNumberFormat="1" applyFont="1" applyBorder="1"/>
    <xf numFmtId="4" fontId="4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2" xfId="0" applyFont="1" applyBorder="1"/>
    <xf numFmtId="0" fontId="0" fillId="0" borderId="2" xfId="0" applyBorder="1"/>
    <xf numFmtId="0" fontId="1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0" fillId="6" borderId="2" xfId="0" applyFill="1" applyBorder="1"/>
    <xf numFmtId="4" fontId="6" fillId="4" borderId="2" xfId="0" applyNumberFormat="1" applyFont="1" applyFill="1" applyBorder="1"/>
    <xf numFmtId="0" fontId="3" fillId="7" borderId="3" xfId="0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sqref="A1:G1"/>
    </sheetView>
  </sheetViews>
  <sheetFormatPr baseColWidth="10" defaultColWidth="8.83203125" defaultRowHeight="15" x14ac:dyDescent="0.2"/>
  <cols>
    <col min="1" max="1" width="55" customWidth="1"/>
    <col min="2" max="2" width="40" customWidth="1"/>
    <col min="3" max="3" width="62" customWidth="1"/>
    <col min="4" max="7" width="12" customWidth="1"/>
  </cols>
  <sheetData>
    <row r="1" spans="1:7" ht="40" customHeight="1" x14ac:dyDescent="0.2">
      <c r="A1" s="22" t="s">
        <v>0</v>
      </c>
      <c r="B1" s="23"/>
      <c r="C1" s="23"/>
      <c r="D1" s="23"/>
      <c r="E1" s="23"/>
      <c r="F1" s="23"/>
      <c r="G1" s="23"/>
    </row>
    <row r="3" spans="1:7" ht="16" x14ac:dyDescent="0.2">
      <c r="A3" s="1" t="s">
        <v>1</v>
      </c>
    </row>
    <row r="4" spans="1:7" ht="25" customHeight="1" x14ac:dyDescent="0.2">
      <c r="A4" s="2" t="s">
        <v>2</v>
      </c>
      <c r="B4" s="2" t="s">
        <v>3</v>
      </c>
      <c r="C4" s="2" t="s">
        <v>4</v>
      </c>
    </row>
    <row r="5" spans="1:7" ht="22" customHeight="1" x14ac:dyDescent="0.2">
      <c r="A5" s="3" t="s">
        <v>5</v>
      </c>
      <c r="B5" s="4">
        <f>'Purchase Order &amp; Landed Cost'!Q7</f>
        <v>0</v>
      </c>
      <c r="C5" s="5" t="s">
        <v>6</v>
      </c>
    </row>
    <row r="6" spans="1:7" ht="22" customHeight="1" x14ac:dyDescent="0.2">
      <c r="A6" s="6" t="s">
        <v>7</v>
      </c>
      <c r="B6" s="7">
        <f>'Sales Tracking &amp; Revenue'!J7</f>
        <v>1080000</v>
      </c>
      <c r="C6" s="8" t="s">
        <v>8</v>
      </c>
    </row>
    <row r="7" spans="1:7" ht="22" customHeight="1" x14ac:dyDescent="0.2">
      <c r="A7" s="3" t="s">
        <v>9</v>
      </c>
      <c r="B7" s="9">
        <f>'Sales Tracking &amp; Revenue'!L7</f>
        <v>345200</v>
      </c>
      <c r="C7" s="5" t="s">
        <v>10</v>
      </c>
    </row>
    <row r="8" spans="1:7" ht="22" customHeight="1" x14ac:dyDescent="0.2">
      <c r="A8" s="6" t="s">
        <v>11</v>
      </c>
      <c r="B8" s="4">
        <f>'Warehouse Inventory Management'!G7</f>
        <v>1286145</v>
      </c>
      <c r="C8" s="8" t="s">
        <v>12</v>
      </c>
    </row>
    <row r="9" spans="1:7" ht="22" customHeight="1" x14ac:dyDescent="0.2">
      <c r="A9" s="3" t="s">
        <v>13</v>
      </c>
      <c r="B9" s="10">
        <f>'Warehouse Inventory Management'!E7</f>
        <v>17500</v>
      </c>
      <c r="C9" s="5" t="s">
        <v>14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5EE9-8589-7E4A-8068-3B0DECEFE5E2}">
  <dimension ref="A1:U7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1" max="1" width="17" customWidth="1"/>
    <col min="2" max="2" width="15" customWidth="1"/>
    <col min="3" max="3" width="16" customWidth="1"/>
    <col min="4" max="4" width="14" customWidth="1"/>
    <col min="5" max="5" width="17" customWidth="1"/>
    <col min="6" max="6" width="16" customWidth="1"/>
    <col min="7" max="7" width="14" customWidth="1"/>
    <col min="8" max="8" width="12" customWidth="1"/>
    <col min="9" max="9" width="17" customWidth="1"/>
    <col min="10" max="10" width="16" customWidth="1"/>
    <col min="11" max="11" width="14" customWidth="1"/>
    <col min="12" max="12" width="15" customWidth="1"/>
    <col min="13" max="13" width="17" customWidth="1"/>
    <col min="14" max="14" width="12" customWidth="1"/>
    <col min="15" max="15" width="19" customWidth="1"/>
    <col min="16" max="16" width="12" customWidth="1"/>
    <col min="17" max="17" width="15" customWidth="1"/>
    <col min="18" max="18" width="16" customWidth="1"/>
    <col min="19" max="19" width="15" customWidth="1"/>
    <col min="20" max="20" width="17" customWidth="1"/>
    <col min="21" max="21" width="14" customWidth="1"/>
  </cols>
  <sheetData>
    <row r="1" spans="1:21" ht="23" x14ac:dyDescent="0.2">
      <c r="A1" s="22" t="s">
        <v>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6" thickBot="1" x14ac:dyDescent="0.25"/>
    <row r="3" spans="1:21" s="37" customFormat="1" ht="35" thickBot="1" x14ac:dyDescent="0.25">
      <c r="A3" s="36" t="s">
        <v>16</v>
      </c>
      <c r="B3" s="36" t="s">
        <v>71</v>
      </c>
      <c r="C3" s="36" t="s">
        <v>18</v>
      </c>
      <c r="D3" s="36" t="s">
        <v>19</v>
      </c>
      <c r="E3" s="36" t="s">
        <v>20</v>
      </c>
      <c r="F3" s="36" t="s">
        <v>21</v>
      </c>
      <c r="G3" s="36" t="s">
        <v>72</v>
      </c>
      <c r="H3" s="36" t="s">
        <v>73</v>
      </c>
      <c r="I3" s="36" t="s">
        <v>23</v>
      </c>
      <c r="J3" s="36" t="s">
        <v>74</v>
      </c>
      <c r="K3" s="36" t="s">
        <v>25</v>
      </c>
      <c r="L3" s="36" t="s">
        <v>75</v>
      </c>
      <c r="M3" s="36" t="s">
        <v>76</v>
      </c>
      <c r="N3" s="36" t="s">
        <v>28</v>
      </c>
      <c r="O3" s="36" t="s">
        <v>77</v>
      </c>
      <c r="P3" s="36" t="s">
        <v>78</v>
      </c>
      <c r="Q3" s="36" t="s">
        <v>79</v>
      </c>
      <c r="R3" s="36" t="s">
        <v>80</v>
      </c>
      <c r="S3" s="36" t="s">
        <v>81</v>
      </c>
      <c r="T3" s="36" t="s">
        <v>82</v>
      </c>
      <c r="U3" s="36" t="s">
        <v>83</v>
      </c>
    </row>
    <row r="4" spans="1:21" ht="22" customHeight="1" x14ac:dyDescent="0.2">
      <c r="A4" s="27" t="s">
        <v>33</v>
      </c>
      <c r="B4" s="27" t="s">
        <v>34</v>
      </c>
      <c r="C4" s="27" t="s">
        <v>35</v>
      </c>
      <c r="D4" s="27" t="s">
        <v>36</v>
      </c>
      <c r="E4" s="28" t="s">
        <v>37</v>
      </c>
      <c r="F4" s="27" t="s">
        <v>38</v>
      </c>
      <c r="G4" s="29">
        <v>20</v>
      </c>
      <c r="H4" s="27"/>
      <c r="I4" s="29">
        <v>7.23</v>
      </c>
      <c r="J4" s="29">
        <v>49.7</v>
      </c>
      <c r="K4" s="29">
        <v>2.38</v>
      </c>
      <c r="L4" s="29">
        <v>1</v>
      </c>
      <c r="M4" s="29">
        <v>1.4</v>
      </c>
      <c r="N4" s="29">
        <v>0.33</v>
      </c>
      <c r="O4" s="29">
        <f>SUM(G4, I4:N4)</f>
        <v>82.04</v>
      </c>
      <c r="P4" s="30">
        <v>4500</v>
      </c>
      <c r="Q4" s="29">
        <f>O4*P4</f>
        <v>369180</v>
      </c>
      <c r="R4" s="29">
        <v>640</v>
      </c>
      <c r="S4" s="29">
        <f>R4*P4</f>
        <v>2880000</v>
      </c>
      <c r="T4" s="31">
        <f>S4-Q4</f>
        <v>2510820</v>
      </c>
      <c r="U4" s="29">
        <f>R4-O4</f>
        <v>557.96</v>
      </c>
    </row>
    <row r="5" spans="1:21" ht="22" customHeight="1" x14ac:dyDescent="0.2">
      <c r="A5" s="27" t="s">
        <v>33</v>
      </c>
      <c r="B5" s="27" t="s">
        <v>34</v>
      </c>
      <c r="C5" s="27" t="s">
        <v>35</v>
      </c>
      <c r="D5" s="27" t="s">
        <v>36</v>
      </c>
      <c r="E5" s="28" t="s">
        <v>84</v>
      </c>
      <c r="F5" s="27" t="s">
        <v>40</v>
      </c>
      <c r="G5" s="29">
        <v>5</v>
      </c>
      <c r="H5" s="27"/>
      <c r="I5" s="29">
        <v>4.59</v>
      </c>
      <c r="J5" s="29">
        <v>38.770000000000003</v>
      </c>
      <c r="K5" s="29">
        <v>2.38</v>
      </c>
      <c r="L5" s="29">
        <v>1</v>
      </c>
      <c r="M5" s="29">
        <v>1.4</v>
      </c>
      <c r="N5" s="29">
        <v>0.33</v>
      </c>
      <c r="O5" s="29">
        <f>SUM(G5, I5:N5)</f>
        <v>53.47</v>
      </c>
      <c r="P5" s="30">
        <v>4500</v>
      </c>
      <c r="Q5" s="29">
        <f>O5*P5</f>
        <v>240615</v>
      </c>
      <c r="R5" s="29">
        <v>215</v>
      </c>
      <c r="S5" s="29">
        <f>R5*P5</f>
        <v>967500</v>
      </c>
      <c r="T5" s="31">
        <f>S5-Q5</f>
        <v>726885</v>
      </c>
      <c r="U5" s="29">
        <f>R5-O5</f>
        <v>161.53</v>
      </c>
    </row>
    <row r="6" spans="1:21" ht="22" customHeight="1" x14ac:dyDescent="0.2">
      <c r="A6" s="27" t="s">
        <v>33</v>
      </c>
      <c r="B6" s="27" t="s">
        <v>34</v>
      </c>
      <c r="C6" s="27" t="s">
        <v>35</v>
      </c>
      <c r="D6" s="27" t="s">
        <v>36</v>
      </c>
      <c r="E6" s="28" t="s">
        <v>85</v>
      </c>
      <c r="F6" s="27" t="s">
        <v>42</v>
      </c>
      <c r="G6" s="29">
        <v>3</v>
      </c>
      <c r="H6" s="27"/>
      <c r="I6" s="29">
        <v>0.75</v>
      </c>
      <c r="J6" s="29">
        <v>2.71</v>
      </c>
      <c r="K6" s="29">
        <v>0.12</v>
      </c>
      <c r="L6" s="29">
        <v>0.06</v>
      </c>
      <c r="M6" s="29">
        <v>0.08</v>
      </c>
      <c r="N6" s="29">
        <v>0.02</v>
      </c>
      <c r="O6" s="29">
        <f>SUM(G6, I6:N6)</f>
        <v>6.7399999999999993</v>
      </c>
      <c r="P6" s="30">
        <v>35000</v>
      </c>
      <c r="Q6" s="29">
        <f>O6*P6</f>
        <v>235899.99999999997</v>
      </c>
      <c r="R6" s="29">
        <v>54</v>
      </c>
      <c r="S6" s="29">
        <f>R6*P6</f>
        <v>1890000</v>
      </c>
      <c r="T6" s="31">
        <f>S6-Q6</f>
        <v>1654100</v>
      </c>
      <c r="U6" s="29">
        <f>R6-O6</f>
        <v>47.26</v>
      </c>
    </row>
    <row r="7" spans="1:21" ht="24" customHeight="1" thickBot="1" x14ac:dyDescent="0.25">
      <c r="A7" s="32" t="s">
        <v>43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4"/>
      <c r="P7" s="34"/>
      <c r="Q7" s="20">
        <f>SUM(Q4:Q6)</f>
        <v>845695</v>
      </c>
      <c r="R7" s="34"/>
      <c r="S7" s="20">
        <f>SUM(S4:S6)</f>
        <v>5737500</v>
      </c>
      <c r="T7" s="35">
        <f>SUM(T4:T6)</f>
        <v>4891805</v>
      </c>
      <c r="U7" s="34"/>
    </row>
  </sheetData>
  <mergeCells count="2">
    <mergeCell ref="A1:U1"/>
    <mergeCell ref="A7:N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sqref="A1:Q1"/>
    </sheetView>
  </sheetViews>
  <sheetFormatPr baseColWidth="10" defaultColWidth="8.83203125" defaultRowHeight="15" x14ac:dyDescent="0.2"/>
  <cols>
    <col min="1" max="1" width="45" customWidth="1"/>
    <col min="2" max="2" width="18" customWidth="1"/>
    <col min="3" max="3" width="16" customWidth="1"/>
    <col min="4" max="4" width="14" customWidth="1"/>
    <col min="5" max="5" width="22" customWidth="1"/>
    <col min="6" max="6" width="16" customWidth="1"/>
    <col min="7" max="7" width="20" customWidth="1"/>
    <col min="8" max="8" width="17" customWidth="1"/>
    <col min="9" max="9" width="18" customWidth="1"/>
    <col min="10" max="10" width="14" customWidth="1"/>
    <col min="11" max="11" width="21" customWidth="1"/>
    <col min="12" max="12" width="19" customWidth="1"/>
    <col min="13" max="13" width="12" customWidth="1"/>
    <col min="14" max="14" width="23" customWidth="1"/>
    <col min="15" max="15" width="15" customWidth="1"/>
    <col min="16" max="16" width="23" customWidth="1"/>
    <col min="17" max="17" width="24" customWidth="1"/>
  </cols>
  <sheetData>
    <row r="1" spans="1:17" ht="40" customHeight="1" x14ac:dyDescent="0.3">
      <c r="A1" s="26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3" spans="1:17" ht="28" customHeight="1" x14ac:dyDescent="0.2">
      <c r="A3" s="11" t="s">
        <v>16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1" t="s">
        <v>32</v>
      </c>
    </row>
    <row r="4" spans="1:17" ht="22" customHeight="1" x14ac:dyDescent="0.2">
      <c r="A4" s="12" t="s">
        <v>33</v>
      </c>
      <c r="B4" s="12" t="s">
        <v>34</v>
      </c>
      <c r="C4" s="12" t="s">
        <v>35</v>
      </c>
      <c r="D4" s="12" t="s">
        <v>36</v>
      </c>
      <c r="E4" s="13" t="s">
        <v>37</v>
      </c>
      <c r="F4" s="12" t="s">
        <v>38</v>
      </c>
      <c r="G4" s="14">
        <v>393.6</v>
      </c>
      <c r="H4" s="14">
        <v>7.23</v>
      </c>
      <c r="I4" s="14">
        <v>49.7</v>
      </c>
      <c r="J4" s="14">
        <v>2.38</v>
      </c>
      <c r="K4" s="14">
        <v>1</v>
      </c>
      <c r="L4" s="14">
        <v>1.4</v>
      </c>
      <c r="M4" s="14">
        <v>0.33</v>
      </c>
      <c r="N4" s="15">
        <f>SUM(G4,H4:M4)</f>
        <v>455.64</v>
      </c>
      <c r="O4" s="16">
        <v>4500</v>
      </c>
      <c r="P4" s="14">
        <f>N4*O4</f>
        <v>2050380</v>
      </c>
      <c r="Q4" s="14">
        <v>640</v>
      </c>
    </row>
    <row r="5" spans="1:17" ht="22" customHeight="1" x14ac:dyDescent="0.2">
      <c r="A5" s="12" t="s">
        <v>33</v>
      </c>
      <c r="B5" s="12" t="s">
        <v>34</v>
      </c>
      <c r="C5" s="12" t="s">
        <v>35</v>
      </c>
      <c r="D5" s="12" t="s">
        <v>36</v>
      </c>
      <c r="E5" s="13" t="s">
        <v>39</v>
      </c>
      <c r="F5" s="12" t="s">
        <v>40</v>
      </c>
      <c r="G5" s="14">
        <v>137.80000000000001</v>
      </c>
      <c r="H5" s="14">
        <v>4.59</v>
      </c>
      <c r="I5" s="14">
        <v>38.770000000000003</v>
      </c>
      <c r="J5" s="14">
        <v>2.38</v>
      </c>
      <c r="K5" s="14">
        <v>1</v>
      </c>
      <c r="L5" s="14">
        <v>1.4</v>
      </c>
      <c r="M5" s="14">
        <v>0.33</v>
      </c>
      <c r="N5" s="15">
        <f>SUM(G5,H5:M5)</f>
        <v>186.27000000000004</v>
      </c>
      <c r="O5" s="16">
        <v>4500</v>
      </c>
      <c r="P5" s="14">
        <f>N5*O5</f>
        <v>838215.00000000012</v>
      </c>
      <c r="Q5" s="14">
        <v>215</v>
      </c>
    </row>
    <row r="6" spans="1:17" ht="22" customHeight="1" x14ac:dyDescent="0.2">
      <c r="A6" s="12" t="s">
        <v>33</v>
      </c>
      <c r="B6" s="12" t="s">
        <v>34</v>
      </c>
      <c r="C6" s="12" t="s">
        <v>35</v>
      </c>
      <c r="D6" s="12" t="s">
        <v>36</v>
      </c>
      <c r="E6" s="13" t="s">
        <v>41</v>
      </c>
      <c r="F6" s="12" t="s">
        <v>42</v>
      </c>
      <c r="G6" s="14">
        <v>33</v>
      </c>
      <c r="H6" s="14">
        <v>0.75</v>
      </c>
      <c r="I6" s="14">
        <v>2.71</v>
      </c>
      <c r="J6" s="14">
        <v>0.12</v>
      </c>
      <c r="K6" s="14">
        <v>0.06</v>
      </c>
      <c r="L6" s="14">
        <v>0.08</v>
      </c>
      <c r="M6" s="14">
        <v>0.02</v>
      </c>
      <c r="N6" s="15">
        <f>SUM(G6,H6:M6)</f>
        <v>36.74</v>
      </c>
      <c r="O6" s="16">
        <v>35000</v>
      </c>
      <c r="P6" s="14">
        <f>N6*O6</f>
        <v>1285900</v>
      </c>
      <c r="Q6" s="14">
        <v>54</v>
      </c>
    </row>
    <row r="7" spans="1:17" x14ac:dyDescent="0.2">
      <c r="A7" s="24" t="s">
        <v>43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19">
        <f>SUM(O4:O6)</f>
        <v>44000</v>
      </c>
      <c r="P7" s="20">
        <f>SUM(P4:P6)</f>
        <v>4174495</v>
      </c>
      <c r="Q7" s="18"/>
    </row>
  </sheetData>
  <mergeCells count="2">
    <mergeCell ref="A7:N7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cols>
    <col min="1" max="1" width="39" customWidth="1"/>
    <col min="2" max="2" width="22" customWidth="1"/>
    <col min="3" max="3" width="38" customWidth="1"/>
    <col min="4" max="4" width="88" customWidth="1"/>
    <col min="5" max="5" width="25" customWidth="1"/>
    <col min="6" max="6" width="38" customWidth="1"/>
    <col min="7" max="7" width="27" customWidth="1"/>
  </cols>
  <sheetData>
    <row r="1" spans="1:7" ht="40" customHeight="1" x14ac:dyDescent="0.3">
      <c r="A1" s="26" t="s">
        <v>44</v>
      </c>
      <c r="B1" s="23"/>
      <c r="C1" s="23"/>
      <c r="D1" s="23"/>
      <c r="E1" s="23"/>
      <c r="F1" s="23"/>
      <c r="G1" s="23"/>
    </row>
    <row r="3" spans="1:7" ht="28" customHeight="1" x14ac:dyDescent="0.2">
      <c r="A3" s="11" t="s">
        <v>21</v>
      </c>
      <c r="B3" s="11" t="s">
        <v>20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49</v>
      </c>
    </row>
    <row r="4" spans="1:7" ht="22" customHeight="1" x14ac:dyDescent="0.2">
      <c r="A4" s="12" t="s">
        <v>38</v>
      </c>
      <c r="B4" s="13" t="s">
        <v>37</v>
      </c>
      <c r="C4" s="16">
        <f>'Purchase Order &amp; Landed Cost'!O4</f>
        <v>4500</v>
      </c>
      <c r="D4" s="16">
        <f>SUMIF('Sales Tracking &amp; Revenue'!E$4:E$10, A4, 'Sales Tracking &amp; Revenue'!G$4:G$10)</f>
        <v>3500</v>
      </c>
      <c r="E4" s="10">
        <f>C4-D4</f>
        <v>1000</v>
      </c>
      <c r="F4" s="14">
        <f>'Purchase Order &amp; Landed Cost'!N4</f>
        <v>455.64</v>
      </c>
      <c r="G4" s="14">
        <f>E4*F4</f>
        <v>455640</v>
      </c>
    </row>
    <row r="5" spans="1:7" ht="22" customHeight="1" x14ac:dyDescent="0.2">
      <c r="A5" s="12" t="s">
        <v>40</v>
      </c>
      <c r="B5" s="13" t="s">
        <v>39</v>
      </c>
      <c r="C5" s="16">
        <f>'Purchase Order &amp; Landed Cost'!O5</f>
        <v>4500</v>
      </c>
      <c r="D5" s="16">
        <f>SUMIF('Sales Tracking &amp; Revenue'!E$4:E$10, A5, 'Sales Tracking &amp; Revenue'!G$4:G$10)</f>
        <v>3000</v>
      </c>
      <c r="E5" s="10">
        <f>C5-D5</f>
        <v>1500</v>
      </c>
      <c r="F5" s="14">
        <f>'Purchase Order &amp; Landed Cost'!N5</f>
        <v>186.27000000000004</v>
      </c>
      <c r="G5" s="14">
        <f>E5*F5</f>
        <v>279405.00000000006</v>
      </c>
    </row>
    <row r="6" spans="1:7" ht="22" customHeight="1" x14ac:dyDescent="0.2">
      <c r="A6" s="12" t="s">
        <v>42</v>
      </c>
      <c r="B6" s="13" t="s">
        <v>41</v>
      </c>
      <c r="C6" s="16">
        <f>'Purchase Order &amp; Landed Cost'!O6</f>
        <v>35000</v>
      </c>
      <c r="D6" s="16">
        <f>SUMIF('Sales Tracking &amp; Revenue'!E$4:E$10, A6, 'Sales Tracking &amp; Revenue'!G$4:G$10)</f>
        <v>20000</v>
      </c>
      <c r="E6" s="10">
        <f>C6-D6</f>
        <v>15000</v>
      </c>
      <c r="F6" s="14">
        <f>'Purchase Order &amp; Landed Cost'!N6</f>
        <v>36.74</v>
      </c>
      <c r="G6" s="14">
        <f>E6*F6</f>
        <v>551100</v>
      </c>
    </row>
    <row r="7" spans="1:7" x14ac:dyDescent="0.2">
      <c r="A7" s="24" t="s">
        <v>43</v>
      </c>
      <c r="B7" s="24"/>
      <c r="C7" s="19">
        <f>SUM(C4:C6)</f>
        <v>44000</v>
      </c>
      <c r="D7" s="19">
        <f>SUM(D4:D6)</f>
        <v>26500</v>
      </c>
      <c r="E7" s="19">
        <f>SUM(E4:E6)</f>
        <v>17500</v>
      </c>
      <c r="F7" s="17"/>
      <c r="G7" s="20">
        <f>SUM(G4:G6)</f>
        <v>1286145</v>
      </c>
    </row>
  </sheetData>
  <mergeCells count="2">
    <mergeCell ref="A1:G1"/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/>
  </sheetViews>
  <sheetFormatPr baseColWidth="10" defaultColWidth="8.83203125" defaultRowHeight="15" x14ac:dyDescent="0.2"/>
  <cols>
    <col min="1" max="1" width="38" customWidth="1"/>
    <col min="2" max="2" width="14" customWidth="1"/>
    <col min="3" max="3" width="34" customWidth="1"/>
    <col min="4" max="4" width="22" customWidth="1"/>
    <col min="5" max="5" width="16" customWidth="1"/>
    <col min="6" max="6" width="68" customWidth="1"/>
    <col min="7" max="7" width="15" customWidth="1"/>
    <col min="8" max="8" width="19" customWidth="1"/>
    <col min="9" max="9" width="21" customWidth="1"/>
    <col min="10" max="10" width="23" customWidth="1"/>
    <col min="11" max="11" width="24" customWidth="1"/>
    <col min="12" max="12" width="25" customWidth="1"/>
  </cols>
  <sheetData>
    <row r="1" spans="1:12" ht="40" customHeight="1" x14ac:dyDescent="0.3">
      <c r="A1" s="26" t="s">
        <v>50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spans="1:12" ht="28" customHeight="1" x14ac:dyDescent="0.2">
      <c r="A3" s="11" t="s">
        <v>51</v>
      </c>
      <c r="B3" s="11" t="s">
        <v>52</v>
      </c>
      <c r="C3" s="11" t="s">
        <v>53</v>
      </c>
      <c r="D3" s="11" t="s">
        <v>20</v>
      </c>
      <c r="E3" s="11" t="s">
        <v>21</v>
      </c>
      <c r="F3" s="11" t="s">
        <v>54</v>
      </c>
      <c r="G3" s="11" t="s">
        <v>55</v>
      </c>
      <c r="H3" s="11" t="s">
        <v>56</v>
      </c>
      <c r="I3" s="11" t="s">
        <v>57</v>
      </c>
      <c r="J3" s="11" t="s">
        <v>58</v>
      </c>
      <c r="K3" s="11" t="s">
        <v>59</v>
      </c>
      <c r="L3" s="11" t="s">
        <v>60</v>
      </c>
    </row>
    <row r="4" spans="1:12" ht="22" customHeight="1" x14ac:dyDescent="0.2">
      <c r="A4" s="12" t="s">
        <v>61</v>
      </c>
      <c r="B4" s="12" t="s">
        <v>62</v>
      </c>
      <c r="C4" s="13" t="s">
        <v>63</v>
      </c>
      <c r="D4" s="13" t="s">
        <v>37</v>
      </c>
      <c r="E4" s="12" t="s">
        <v>38</v>
      </c>
      <c r="F4" s="14">
        <f>VLOOKUP(E4, 'Warehouse Inventory Management'!A$4:G$6, 6, FALSE)</f>
        <v>455.64</v>
      </c>
      <c r="G4" s="16">
        <v>3000</v>
      </c>
      <c r="H4" s="14">
        <v>640</v>
      </c>
      <c r="I4" s="14">
        <f>F4*G4</f>
        <v>1366920</v>
      </c>
      <c r="J4" s="14">
        <f>H4*G4</f>
        <v>1920000</v>
      </c>
      <c r="K4" s="14">
        <f>H4-F4</f>
        <v>184.36</v>
      </c>
      <c r="L4" s="21">
        <f>J4-I4</f>
        <v>553080</v>
      </c>
    </row>
    <row r="5" spans="1:12" ht="22" customHeight="1" x14ac:dyDescent="0.2">
      <c r="A5" s="12" t="s">
        <v>61</v>
      </c>
      <c r="B5" s="12" t="s">
        <v>62</v>
      </c>
      <c r="C5" s="13" t="s">
        <v>63</v>
      </c>
      <c r="D5" s="13" t="s">
        <v>39</v>
      </c>
      <c r="E5" s="12" t="s">
        <v>40</v>
      </c>
      <c r="F5" s="14">
        <f>VLOOKUP(E5, 'Warehouse Inventory Management'!A$4:G$6, 6, FALSE)</f>
        <v>186.27000000000004</v>
      </c>
      <c r="G5" s="16">
        <v>3000</v>
      </c>
      <c r="H5" s="14">
        <v>215</v>
      </c>
      <c r="I5" s="14">
        <f>F5*G5</f>
        <v>558810.00000000012</v>
      </c>
      <c r="J5" s="14">
        <f>H5*G5</f>
        <v>645000</v>
      </c>
      <c r="K5" s="14">
        <f>H5-F5</f>
        <v>28.729999999999961</v>
      </c>
      <c r="L5" s="21">
        <f>J5-I5</f>
        <v>86189.999999999884</v>
      </c>
    </row>
    <row r="6" spans="1:12" ht="22" customHeight="1" x14ac:dyDescent="0.2">
      <c r="A6" s="12" t="s">
        <v>64</v>
      </c>
      <c r="B6" s="12" t="s">
        <v>65</v>
      </c>
      <c r="C6" s="13" t="s">
        <v>66</v>
      </c>
      <c r="D6" s="13" t="s">
        <v>37</v>
      </c>
      <c r="E6" s="12" t="s">
        <v>38</v>
      </c>
      <c r="F6" s="14">
        <f>VLOOKUP(E6, 'Warehouse Inventory Management'!A$4:G$6, 6, FALSE)</f>
        <v>455.64</v>
      </c>
      <c r="G6" s="16">
        <v>500</v>
      </c>
      <c r="H6" s="14">
        <v>650</v>
      </c>
      <c r="I6" s="14">
        <f>F6*G6</f>
        <v>227820</v>
      </c>
      <c r="J6" s="14">
        <f>H6*G6</f>
        <v>325000</v>
      </c>
      <c r="K6" s="14">
        <f>H6-F6</f>
        <v>194.36</v>
      </c>
      <c r="L6" s="21">
        <f>J6-I6</f>
        <v>97180</v>
      </c>
    </row>
    <row r="7" spans="1:12" ht="22" customHeight="1" x14ac:dyDescent="0.2">
      <c r="A7" s="12" t="s">
        <v>67</v>
      </c>
      <c r="B7" s="12" t="s">
        <v>68</v>
      </c>
      <c r="C7" s="13" t="s">
        <v>69</v>
      </c>
      <c r="D7" s="13" t="s">
        <v>41</v>
      </c>
      <c r="E7" s="12" t="s">
        <v>42</v>
      </c>
      <c r="F7" s="14">
        <f>VLOOKUP(E7, 'Warehouse Inventory Management'!A$4:G$6, 6, FALSE)</f>
        <v>36.74</v>
      </c>
      <c r="G7" s="16">
        <v>20000</v>
      </c>
      <c r="H7" s="14">
        <v>54</v>
      </c>
      <c r="I7" s="14">
        <f>F7*G7</f>
        <v>734800</v>
      </c>
      <c r="J7" s="14">
        <f>H7*G7</f>
        <v>1080000</v>
      </c>
      <c r="K7" s="14">
        <f>H7-F7</f>
        <v>17.259999999999998</v>
      </c>
      <c r="L7" s="21">
        <f>J7-I7</f>
        <v>345200</v>
      </c>
    </row>
    <row r="8" spans="1:12" x14ac:dyDescent="0.2">
      <c r="A8" s="24" t="s">
        <v>43</v>
      </c>
      <c r="B8" s="24"/>
      <c r="C8" s="24"/>
      <c r="D8" s="24"/>
      <c r="E8" s="24"/>
      <c r="F8" s="24"/>
      <c r="G8" s="19">
        <f>SUM(G4:G7)</f>
        <v>26500</v>
      </c>
      <c r="H8" s="17"/>
      <c r="I8" s="20">
        <f>SUM(I4:I7)</f>
        <v>2888350</v>
      </c>
      <c r="J8" s="20">
        <f>SUM(J4:J7)</f>
        <v>3970000</v>
      </c>
      <c r="K8" s="17"/>
      <c r="L8" s="20">
        <f>SUM(L4:L7)</f>
        <v>1081650</v>
      </c>
    </row>
  </sheetData>
  <mergeCells count="2">
    <mergeCell ref="A8:F8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&amp; Summary Overview</vt:lpstr>
      <vt:lpstr>Landed costs </vt:lpstr>
      <vt:lpstr>Purchase Order &amp; Landed Cost</vt:lpstr>
      <vt:lpstr>Warehouse Inventory Management</vt:lpstr>
      <vt:lpstr>Sales Tracking &amp;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coxsboy@gmail.com</cp:lastModifiedBy>
  <dcterms:created xsi:type="dcterms:W3CDTF">2026-06-24T06:13:27Z</dcterms:created>
  <dcterms:modified xsi:type="dcterms:W3CDTF">2026-06-24T06:18:51Z</dcterms:modified>
</cp:coreProperties>
</file>