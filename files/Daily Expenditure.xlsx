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User\Desktop\Accounts\Updated\"/>
    </mc:Choice>
  </mc:AlternateContent>
  <bookViews>
    <workbookView xWindow="0" yWindow="0" windowWidth="10080" windowHeight="6840" firstSheet="1" activeTab="4"/>
  </bookViews>
  <sheets>
    <sheet name="Product Database" sheetId="1" r:id="rId1"/>
    <sheet name="Dashboard" sheetId="5" r:id="rId2"/>
    <sheet name="Expenditure-July 26" sheetId="6" r:id="rId3"/>
    <sheet name="July Summary" sheetId="8" r:id="rId4"/>
    <sheet name="Expenditure-August 26" sheetId="9" r:id="rId5"/>
  </sheets>
  <calcPr calcId="162913"/>
</workbook>
</file>

<file path=xl/calcChain.xml><?xml version="1.0" encoding="utf-8"?>
<calcChain xmlns="http://schemas.openxmlformats.org/spreadsheetml/2006/main">
  <c r="C70" i="6" l="1"/>
  <c r="C69" i="6"/>
  <c r="C67" i="6"/>
  <c r="D5" i="8" l="1"/>
  <c r="D7" i="8" l="1"/>
  <c r="D8" i="8" l="1"/>
  <c r="D9" i="8" l="1"/>
</calcChain>
</file>

<file path=xl/sharedStrings.xml><?xml version="1.0" encoding="utf-8"?>
<sst xmlns="http://schemas.openxmlformats.org/spreadsheetml/2006/main" count="315" uniqueCount="182">
  <si>
    <t>Product Code</t>
  </si>
  <si>
    <t>Product Name</t>
  </si>
  <si>
    <t>Category</t>
  </si>
  <si>
    <t>Cost Price</t>
  </si>
  <si>
    <t>Selling Price</t>
  </si>
  <si>
    <t>Opening Stock</t>
  </si>
  <si>
    <t>Reorder Level</t>
  </si>
  <si>
    <t>Date</t>
  </si>
  <si>
    <t>MIPRO Healthcare - Dashboard</t>
  </si>
  <si>
    <t>Total Sales</t>
  </si>
  <si>
    <t>Total Profit</t>
  </si>
  <si>
    <t>Total Receivable</t>
  </si>
  <si>
    <t>Expenditure Details</t>
  </si>
  <si>
    <t>Cost</t>
  </si>
  <si>
    <t>Remarks</t>
  </si>
  <si>
    <t>Office Entertainment</t>
  </si>
  <si>
    <t>13/7/2026</t>
  </si>
  <si>
    <t>14/7/2026</t>
  </si>
  <si>
    <t>15/7/2026</t>
  </si>
  <si>
    <t>16/7/2026</t>
  </si>
  <si>
    <t>17/7/2026</t>
  </si>
  <si>
    <t>18/7/2026</t>
  </si>
  <si>
    <t xml:space="preserve">Office Entertainment </t>
  </si>
  <si>
    <t>Expenditures</t>
  </si>
  <si>
    <t xml:space="preserve">Stationeries </t>
  </si>
  <si>
    <t>Transport Cost (Office)</t>
  </si>
  <si>
    <t>Transport Cost (Mr. Shamin)</t>
  </si>
  <si>
    <t>Transport Cost (Mr. Tuhin)</t>
  </si>
  <si>
    <t>Transport Cost (Mr.Saifullah)</t>
  </si>
  <si>
    <t>Entertainment (CEO)</t>
  </si>
  <si>
    <t>Entertainment (MD)</t>
  </si>
  <si>
    <t>Courier Charges</t>
  </si>
  <si>
    <t>Amount</t>
  </si>
  <si>
    <t>Particulars</t>
  </si>
  <si>
    <t>Salary</t>
  </si>
  <si>
    <t>Transport Cost</t>
  </si>
  <si>
    <t>Transport Cost Office</t>
  </si>
  <si>
    <t xml:space="preserve">Loan From CEO </t>
  </si>
  <si>
    <t>Stationaries</t>
  </si>
  <si>
    <t>stationaries</t>
  </si>
  <si>
    <t>CEO Sir Nasta</t>
  </si>
  <si>
    <t>2 Guest Iftar</t>
  </si>
  <si>
    <t>Ajampur Rickshaw</t>
  </si>
  <si>
    <t>Nihad TA Bkash Mymensingh</t>
  </si>
  <si>
    <t>Official persons Snacks</t>
  </si>
  <si>
    <t>Shundorban Hotel Rent, Mostofa give previous 220tk to CEO</t>
  </si>
  <si>
    <t>Office-AB market(40), BNS-Office(30), Brac bank-Office updown(40)</t>
  </si>
  <si>
    <t>Mostofa Lunch(60), CEO tea(20)</t>
  </si>
  <si>
    <t>AJR Courier updown(50), then Matikata by Cng(350), Matikata-Mirpur 10(50), Mirpur 10-Agargaon by Metro(40),</t>
  </si>
  <si>
    <t>Mostofa Lunch(80), CEO Lunch(40), Mostofa Evening snacks(30)</t>
  </si>
  <si>
    <t>Mostofa Lunch(120), Mostofa Tea Biscuilt(20)</t>
  </si>
  <si>
    <t>Mostofa Mobile Recharge</t>
  </si>
  <si>
    <t>Cng rent(600), Rickshaw(30), Azimpur-bns(50), LabouR(30)</t>
  </si>
  <si>
    <t>Mostofa Lunch(120), Mostofa Tea Biscuilt(25), CEO(45)</t>
  </si>
  <si>
    <t>Office-Abdullahpur(40), Abdullahpur-Shamoly(120)2 seat for product, Rickshaw(30),  Shamoly-Agargaon by Rickshaw(40), Agargaon-Uttara metro(60), Uttara-Medical(15), Medical-Office(20)</t>
  </si>
  <si>
    <t>Office-Ajr courier updown(40), Office-AmirComplex updown(60)</t>
  </si>
  <si>
    <t>Office-Ajampur(70), Office-Housebuilding(20), Bns-Farmgate(40), Farmgate-Shochibaloy metro(30), Shochibaloy-Gulisthan Rickshaw(30), Gulisthan-D.Medical(25), Medical-Ajimpur(25), College gate-Agargaon(30)</t>
  </si>
  <si>
    <t>Snacks(20) Mostofa(60)</t>
  </si>
  <si>
    <t>Office-Shamoly(600), Office-Medical(40), Shamoly-Agargaon(30), Agargaon-Uttara by Metro(60), Uttara-B.Medical(15), to Office(20), Office-Bns(30), Ajampur-Office(40)</t>
  </si>
  <si>
    <t>bank by Rickshaw(20)</t>
  </si>
  <si>
    <t>wasa card(50), post office letter(30)</t>
  </si>
  <si>
    <t>Mostofa Lunch(60)</t>
  </si>
  <si>
    <t>Internet Bill</t>
  </si>
  <si>
    <t>Evening Nasta MD &amp; CEO</t>
  </si>
  <si>
    <t>M.bank rickshaw(20)</t>
  </si>
  <si>
    <t>book(20), Calling Bell Battery(60)</t>
  </si>
  <si>
    <t>Mostofa Rickshaw(20)</t>
  </si>
  <si>
    <t>MD Sir &amp; Friend</t>
  </si>
  <si>
    <t>Pressure Clip 7pcs(70)</t>
  </si>
  <si>
    <t>Tender seal(1000), A4 size envelop(20)</t>
  </si>
  <si>
    <t>Mostofa office-housebuilding-sector 4-jashimuddin-sector 4 house 31-jashimuddin-housebuilding-office</t>
  </si>
  <si>
    <t>Loan From CEO</t>
  </si>
  <si>
    <t>19/7/2026</t>
  </si>
  <si>
    <t>20/7/2026</t>
  </si>
  <si>
    <t>25/7/2026</t>
  </si>
  <si>
    <t>April</t>
  </si>
  <si>
    <t>May</t>
  </si>
  <si>
    <t>June</t>
  </si>
  <si>
    <t>July</t>
  </si>
  <si>
    <t>26/7/2026</t>
  </si>
  <si>
    <t>27/7/2026</t>
  </si>
  <si>
    <t>28/7/2026</t>
  </si>
  <si>
    <t>29/7/2026</t>
  </si>
  <si>
    <t>30/7/2026</t>
  </si>
  <si>
    <t>23/7/2026</t>
  </si>
  <si>
    <t>24/7/2024</t>
  </si>
  <si>
    <t>Total</t>
  </si>
  <si>
    <t>ITEM11</t>
  </si>
  <si>
    <t>AV Fistula 16g</t>
  </si>
  <si>
    <t>ITEM12</t>
  </si>
  <si>
    <t>AV Fistula 17g</t>
  </si>
  <si>
    <t>ITEM10</t>
  </si>
  <si>
    <t>ITEM13</t>
  </si>
  <si>
    <t>ITEM09</t>
  </si>
  <si>
    <t>ITEM03</t>
  </si>
  <si>
    <t>ITEM04</t>
  </si>
  <si>
    <t>ITEM05</t>
  </si>
  <si>
    <t>ITEM06</t>
  </si>
  <si>
    <t>ITEM01</t>
  </si>
  <si>
    <t>ITEM02</t>
  </si>
  <si>
    <t>ITEM08</t>
  </si>
  <si>
    <t>ITEM07</t>
  </si>
  <si>
    <t>Blood Line</t>
  </si>
  <si>
    <t>Blood Line Sets</t>
  </si>
  <si>
    <t>Blood Line Setz</t>
  </si>
  <si>
    <t>Blood Line Setzs</t>
  </si>
  <si>
    <t>Blood Tubing Set For Hemodialysis</t>
  </si>
  <si>
    <t>Blood Tubing Set for Hemodialysis</t>
  </si>
  <si>
    <t>Cather</t>
  </si>
  <si>
    <t>Catheter</t>
  </si>
  <si>
    <t>Catheter/C.V. Line</t>
  </si>
  <si>
    <t>Central Vanous Cather 7Fr-13cm</t>
  </si>
  <si>
    <t>Dialyzer</t>
  </si>
  <si>
    <t>Dialyzer 1.5H</t>
  </si>
  <si>
    <t>Dialyzer 1.5L</t>
  </si>
  <si>
    <t>Dialyzer 1.6H</t>
  </si>
  <si>
    <t>Dialyzer 1.6L</t>
  </si>
  <si>
    <t>Dialyzer 1.7H</t>
  </si>
  <si>
    <t>Dialyzer 1.7L</t>
  </si>
  <si>
    <t>Dialyzer 2.0</t>
  </si>
  <si>
    <t>Dialyzer For Hemodialysis 1.5L</t>
  </si>
  <si>
    <t>Dialyzer for Hemodialysis 1.5H</t>
  </si>
  <si>
    <t>Dialyzer for Hemodialysis 1.7H</t>
  </si>
  <si>
    <t>Dialyzer for Hemodialysis 1.7L</t>
  </si>
  <si>
    <t>Hemodialysis</t>
  </si>
  <si>
    <t>Hemodialysis Cather 12Fr-20cm</t>
  </si>
  <si>
    <t>Dialyzer 1.8g</t>
  </si>
  <si>
    <t>Dialyzer 1.7g</t>
  </si>
  <si>
    <t>Dialyzer  1.6L</t>
  </si>
  <si>
    <t>AV Fistula Needle for Hemodialysis</t>
  </si>
  <si>
    <t>Catheter (all types)</t>
  </si>
  <si>
    <t>Dialyzer (unspecified size)</t>
  </si>
  <si>
    <t>Dialyzer (2.0 / other size)</t>
  </si>
  <si>
    <t>Dialyzer 1.8H</t>
  </si>
  <si>
    <t>Sujon Pharma product delivery caring cost(200). Paid =21000-200=20800.</t>
  </si>
  <si>
    <t>product courier to Manikgonj, MD sir er meyer birthcertificate anar khoroch.</t>
  </si>
  <si>
    <t>Product delivery DMC+Shamoly.</t>
  </si>
  <si>
    <t>labour payment+ others (333 cartoon + 10 pcs)(3500) + Mostofa tea biscuit(20)</t>
  </si>
  <si>
    <t>Dhaka Elivated Expressway Bill paid by CEO</t>
  </si>
  <si>
    <t>Entertainment</t>
  </si>
  <si>
    <t>Meeting for  DGFP</t>
  </si>
  <si>
    <t>Admin Cost</t>
  </si>
  <si>
    <t>Advance for 3 office chairs</t>
  </si>
  <si>
    <t xml:space="preserve">dues  payment for 3 chair </t>
  </si>
  <si>
    <t>MD Door lock repair</t>
  </si>
  <si>
    <t>BNS lock purpose (60), Office to azampur(50), Bank Cast deposite rickshow(40)</t>
  </si>
  <si>
    <t>CEO sir Lunch(70), Tea(20), Tea(20), MD sir Lunch(50)</t>
  </si>
  <si>
    <t>Admin cost</t>
  </si>
  <si>
    <t xml:space="preserve">Samim bhai loan back(500) courier purpose </t>
  </si>
  <si>
    <t>Photocopy both side (675)</t>
  </si>
  <si>
    <t xml:space="preserve"> ajampurt-tongi by bus(10),  tongi-office by rickshaw(50), </t>
  </si>
  <si>
    <t>fan price(2100), Rack Rfl(500), fan setup bil(200), washa water card recahrge(50)</t>
  </si>
  <si>
    <t>Captains world CEO(1000), CEO TEA(40), CEO nasta(40), Mostofa tea+bis(20).</t>
  </si>
  <si>
    <t>Driver salary (Loan From MD)</t>
  </si>
  <si>
    <t>TA Cost</t>
  </si>
  <si>
    <t>Mobile phone hotline(100)</t>
  </si>
  <si>
    <t xml:space="preserve">Stamp Seal 5pcs </t>
  </si>
  <si>
    <t>Multiplug(550), Socket(200)</t>
  </si>
  <si>
    <t>Shonali Paper 2 reel</t>
  </si>
  <si>
    <t>For Mugdha Hospital (BKASH-01677350596) Paid to Mr. Suman</t>
  </si>
  <si>
    <t>1 July-10 July Total Expenditure</t>
  </si>
  <si>
    <t>11 July-31 July Total Expenditure</t>
  </si>
  <si>
    <t>Tea(20), Others(115)</t>
  </si>
  <si>
    <t>MD &amp; CEO lunch(140), SHUMON(20), Mostofa(10), CEO TEA,others(66)</t>
  </si>
  <si>
    <t>CEO tea+others.</t>
  </si>
  <si>
    <r>
      <t>Lunch 3 person(420),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Others</t>
    </r>
    <r>
      <rPr>
        <b/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115)</t>
    </r>
  </si>
  <si>
    <t>CEO Nasta(60), Lunch(430), Others(115)</t>
  </si>
  <si>
    <t>Daily Expenditure -JULY 26</t>
  </si>
  <si>
    <t>Daily Expenditure -August 26</t>
  </si>
  <si>
    <t>Mdi to sunu trading CNG(550), Office to Medi(30), Sahabag metro to Uttara(80),Uttara to Mdi(20),Mdi to Office(20)</t>
  </si>
  <si>
    <t>Cash paid to Dr. Saadullah, Adv(F&amp;S) DMCH (Loan from CEO)</t>
  </si>
  <si>
    <t xml:space="preserve">Product delivery {Office-Abdullahpur(Rickshaw)-30}, {Abdullahpur-Shamoly(Bus)-120}, {Shamoly-Popular(Rickshaw)-30}, {Popular-Agargaon(Rickshaw)-30}, {Agargaon-UttaraNorth(Metro)-60}, {UttaraNorth-Medical(cng)-20}, {Medical-Office(Rickshaw)-20} </t>
  </si>
  <si>
    <t>Evening Fast(Mostofa)</t>
  </si>
  <si>
    <t>Labour Cost</t>
  </si>
  <si>
    <t>Staff tea(75),CEO &amp; Mostofa tea(40) E. Fast-8:45pm (60),</t>
  </si>
  <si>
    <t>Product delivery {Office-Medical(Rickshaw)-30}, {Medical-Sonu trading A.S.M(cng)-550}, Aziz Super Market Security-20, {Shahabag-UttaraNorth(Metro)-80}, {UttaraNorth-Medical(leguna)-20}, {Medical-Office(Rickshaw)-20}.</t>
  </si>
  <si>
    <t>CEO sir k oaid to cash 1500</t>
  </si>
  <si>
    <t>Office Stuff Tea+Biscuit(60), Mostofa Lunch during delivery(120)</t>
  </si>
  <si>
    <t>Product Delivery: {Isaf Baraka Fund(Bus)-100}, {Mogbazar-Insaaf Baraka Fund(Rickshaw)-30}, {Mogbazar-BNS(Bus)-50},{House Building-Office(Rickshaw)-20},{Uttara-Sector 11(Rickshaw)-40}</t>
  </si>
  <si>
    <t>Hotline Mobile Recharge- (10gb+200min)</t>
  </si>
  <si>
    <t xml:space="preserve">CEO Sir Loan </t>
  </si>
  <si>
    <t>Office Expence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</si>
</sst>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  <charset val="1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5" borderId="1" xfId="0" applyFill="1" applyBorder="1"/>
    <xf numFmtId="0" fontId="0" fillId="3" borderId="3" xfId="0" applyFill="1" applyBorder="1"/>
    <xf numFmtId="0" fontId="0" fillId="4" borderId="3" xfId="0" applyFill="1" applyBorder="1"/>
    <xf numFmtId="0" fontId="0" fillId="2" borderId="3" xfId="0" applyFill="1" applyBorder="1"/>
    <xf numFmtId="0" fontId="0" fillId="0" borderId="3" xfId="0" applyBorder="1"/>
    <xf numFmtId="0" fontId="0" fillId="0" borderId="3" xfId="0" applyBorder="1" applyAlignment="1">
      <alignment horizontal="left" wrapText="1"/>
    </xf>
    <xf numFmtId="0" fontId="0" fillId="0" borderId="4" xfId="0" applyBorder="1"/>
    <xf numFmtId="0" fontId="0" fillId="0" borderId="3" xfId="0" applyFill="1" applyBorder="1"/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3" fillId="0" borderId="3" xfId="0" applyFont="1" applyBorder="1"/>
    <xf numFmtId="0" fontId="0" fillId="0" borderId="0" xfId="0" applyFont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right"/>
    </xf>
    <xf numFmtId="0" fontId="3" fillId="6" borderId="0" xfId="0" applyFont="1" applyFill="1"/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/>
    <xf numFmtId="14" fontId="0" fillId="0" borderId="3" xfId="0" applyNumberFormat="1" applyBorder="1" applyAlignment="1">
      <alignment horizontal="center"/>
    </xf>
    <xf numFmtId="0" fontId="0" fillId="2" borderId="3" xfId="0" applyFill="1" applyBorder="1" applyAlignment="1">
      <alignment horizontal="center"/>
    </xf>
    <xf numFmtId="14" fontId="0" fillId="5" borderId="3" xfId="0" applyNumberFormat="1" applyFill="1" applyBorder="1"/>
    <xf numFmtId="14" fontId="0" fillId="0" borderId="0" xfId="0" applyNumberFormat="1"/>
    <xf numFmtId="43" fontId="0" fillId="0" borderId="3" xfId="1" applyFont="1" applyBorder="1"/>
    <xf numFmtId="43" fontId="0" fillId="0" borderId="3" xfId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7" borderId="0" xfId="0" applyFont="1" applyFill="1" applyAlignment="1">
      <alignment horizontal="center"/>
    </xf>
    <xf numFmtId="43" fontId="0" fillId="4" borderId="3" xfId="1" applyFont="1" applyFill="1" applyBorder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="70" zoomScaleNormal="70" workbookViewId="0">
      <selection activeCell="E11" sqref="E11"/>
    </sheetView>
  </sheetViews>
  <sheetFormatPr defaultRowHeight="15" x14ac:dyDescent="0.25"/>
  <cols>
    <col min="1" max="1" width="20" customWidth="1"/>
    <col min="2" max="2" width="34.42578125" bestFit="1" customWidth="1"/>
    <col min="3" max="3" width="26.85546875" bestFit="1" customWidth="1"/>
    <col min="4" max="14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4" t="s">
        <v>87</v>
      </c>
      <c r="B2" s="15" t="s">
        <v>88</v>
      </c>
      <c r="C2" s="15" t="s">
        <v>88</v>
      </c>
      <c r="E2">
        <v>60</v>
      </c>
    </row>
    <row r="3" spans="1:7" x14ac:dyDescent="0.25">
      <c r="A3" s="15" t="s">
        <v>89</v>
      </c>
      <c r="B3" s="15" t="s">
        <v>90</v>
      </c>
      <c r="C3" s="15" t="s">
        <v>90</v>
      </c>
      <c r="E3">
        <v>60</v>
      </c>
    </row>
    <row r="4" spans="1:7" x14ac:dyDescent="0.25">
      <c r="A4" s="15" t="s">
        <v>87</v>
      </c>
      <c r="B4" s="15" t="s">
        <v>129</v>
      </c>
      <c r="C4" s="15" t="s">
        <v>88</v>
      </c>
      <c r="E4">
        <v>60</v>
      </c>
    </row>
    <row r="5" spans="1:7" x14ac:dyDescent="0.25">
      <c r="A5" s="15" t="s">
        <v>91</v>
      </c>
      <c r="B5" s="15" t="s">
        <v>102</v>
      </c>
      <c r="C5" s="15" t="s">
        <v>103</v>
      </c>
      <c r="E5">
        <v>225</v>
      </c>
    </row>
    <row r="6" spans="1:7" x14ac:dyDescent="0.25">
      <c r="A6" s="15" t="s">
        <v>91</v>
      </c>
      <c r="B6" s="15" t="s">
        <v>103</v>
      </c>
      <c r="C6" s="15" t="s">
        <v>103</v>
      </c>
      <c r="E6">
        <v>225</v>
      </c>
    </row>
    <row r="7" spans="1:7" x14ac:dyDescent="0.25">
      <c r="A7" s="15" t="s">
        <v>91</v>
      </c>
      <c r="B7" s="15" t="s">
        <v>104</v>
      </c>
      <c r="C7" s="15" t="s">
        <v>103</v>
      </c>
      <c r="E7">
        <v>225</v>
      </c>
    </row>
    <row r="8" spans="1:7" x14ac:dyDescent="0.25">
      <c r="A8" s="15" t="s">
        <v>91</v>
      </c>
      <c r="B8" s="15" t="s">
        <v>105</v>
      </c>
      <c r="C8" s="15" t="s">
        <v>103</v>
      </c>
      <c r="E8">
        <v>225</v>
      </c>
    </row>
    <row r="9" spans="1:7" x14ac:dyDescent="0.25">
      <c r="A9" s="15" t="s">
        <v>91</v>
      </c>
      <c r="B9" s="15" t="s">
        <v>106</v>
      </c>
      <c r="C9" s="15" t="s">
        <v>103</v>
      </c>
      <c r="E9">
        <v>225</v>
      </c>
    </row>
    <row r="10" spans="1:7" x14ac:dyDescent="0.25">
      <c r="A10" s="15" t="s">
        <v>91</v>
      </c>
      <c r="B10" s="15" t="s">
        <v>107</v>
      </c>
      <c r="C10" s="15" t="s">
        <v>103</v>
      </c>
      <c r="E10">
        <v>225</v>
      </c>
    </row>
    <row r="11" spans="1:7" x14ac:dyDescent="0.25">
      <c r="A11" s="15" t="s">
        <v>92</v>
      </c>
      <c r="B11" s="15" t="s">
        <v>108</v>
      </c>
      <c r="C11" s="15" t="s">
        <v>130</v>
      </c>
    </row>
    <row r="12" spans="1:7" x14ac:dyDescent="0.25">
      <c r="A12" s="15" t="s">
        <v>92</v>
      </c>
      <c r="B12" s="15" t="s">
        <v>109</v>
      </c>
      <c r="C12" s="15" t="s">
        <v>130</v>
      </c>
    </row>
    <row r="13" spans="1:7" x14ac:dyDescent="0.25">
      <c r="A13" s="15" t="s">
        <v>92</v>
      </c>
      <c r="B13" s="15" t="s">
        <v>110</v>
      </c>
      <c r="C13" s="15" t="s">
        <v>130</v>
      </c>
    </row>
    <row r="14" spans="1:7" x14ac:dyDescent="0.25">
      <c r="A14" s="15" t="s">
        <v>92</v>
      </c>
      <c r="B14" s="15" t="s">
        <v>111</v>
      </c>
      <c r="C14" s="15" t="s">
        <v>130</v>
      </c>
    </row>
    <row r="15" spans="1:7" x14ac:dyDescent="0.25">
      <c r="A15" s="15" t="s">
        <v>93</v>
      </c>
      <c r="B15" s="15" t="s">
        <v>112</v>
      </c>
      <c r="C15" s="15" t="s">
        <v>131</v>
      </c>
    </row>
    <row r="16" spans="1:7" x14ac:dyDescent="0.25">
      <c r="A16" s="15" t="s">
        <v>94</v>
      </c>
      <c r="B16" s="15" t="s">
        <v>113</v>
      </c>
      <c r="C16" s="15" t="s">
        <v>113</v>
      </c>
    </row>
    <row r="17" spans="1:3" x14ac:dyDescent="0.25">
      <c r="A17" s="15" t="s">
        <v>95</v>
      </c>
      <c r="B17" s="15" t="s">
        <v>114</v>
      </c>
      <c r="C17" s="15" t="s">
        <v>114</v>
      </c>
    </row>
    <row r="18" spans="1:3" x14ac:dyDescent="0.25">
      <c r="A18" s="15" t="s">
        <v>96</v>
      </c>
      <c r="B18" s="15" t="s">
        <v>115</v>
      </c>
      <c r="C18" s="15" t="s">
        <v>115</v>
      </c>
    </row>
    <row r="19" spans="1:3" x14ac:dyDescent="0.25">
      <c r="A19" s="15" t="s">
        <v>97</v>
      </c>
      <c r="B19" s="15" t="s">
        <v>116</v>
      </c>
      <c r="C19" s="15" t="s">
        <v>116</v>
      </c>
    </row>
    <row r="20" spans="1:3" x14ac:dyDescent="0.25">
      <c r="A20" s="15" t="s">
        <v>98</v>
      </c>
      <c r="B20" s="15" t="s">
        <v>117</v>
      </c>
      <c r="C20" s="15" t="s">
        <v>117</v>
      </c>
    </row>
    <row r="21" spans="1:3" x14ac:dyDescent="0.25">
      <c r="A21" s="15" t="s">
        <v>99</v>
      </c>
      <c r="B21" s="15" t="s">
        <v>118</v>
      </c>
      <c r="C21" s="15" t="s">
        <v>118</v>
      </c>
    </row>
    <row r="22" spans="1:3" x14ac:dyDescent="0.25">
      <c r="A22" s="15" t="s">
        <v>100</v>
      </c>
      <c r="B22" s="15" t="s">
        <v>119</v>
      </c>
      <c r="C22" s="15" t="s">
        <v>132</v>
      </c>
    </row>
    <row r="23" spans="1:3" x14ac:dyDescent="0.25">
      <c r="A23" s="15" t="s">
        <v>95</v>
      </c>
      <c r="B23" s="15" t="s">
        <v>120</v>
      </c>
      <c r="C23" s="15" t="s">
        <v>114</v>
      </c>
    </row>
    <row r="24" spans="1:3" x14ac:dyDescent="0.25">
      <c r="A24" s="15" t="s">
        <v>94</v>
      </c>
      <c r="B24" s="15" t="s">
        <v>121</v>
      </c>
      <c r="C24" s="15" t="s">
        <v>113</v>
      </c>
    </row>
    <row r="25" spans="1:3" x14ac:dyDescent="0.25">
      <c r="A25" s="15" t="s">
        <v>98</v>
      </c>
      <c r="B25" s="15" t="s">
        <v>122</v>
      </c>
      <c r="C25" s="15" t="s">
        <v>117</v>
      </c>
    </row>
    <row r="26" spans="1:3" x14ac:dyDescent="0.25">
      <c r="A26" s="15" t="s">
        <v>99</v>
      </c>
      <c r="B26" s="15" t="s">
        <v>123</v>
      </c>
      <c r="C26" s="15" t="s">
        <v>118</v>
      </c>
    </row>
    <row r="27" spans="1:3" x14ac:dyDescent="0.25">
      <c r="A27" s="15" t="s">
        <v>92</v>
      </c>
      <c r="B27" s="15" t="s">
        <v>124</v>
      </c>
      <c r="C27" s="15" t="s">
        <v>130</v>
      </c>
    </row>
    <row r="28" spans="1:3" x14ac:dyDescent="0.25">
      <c r="A28" s="15" t="s">
        <v>92</v>
      </c>
      <c r="B28" s="15" t="s">
        <v>125</v>
      </c>
      <c r="C28" s="15" t="s">
        <v>130</v>
      </c>
    </row>
    <row r="29" spans="1:3" x14ac:dyDescent="0.25">
      <c r="A29" s="14" t="s">
        <v>101</v>
      </c>
      <c r="B29" s="14" t="s">
        <v>126</v>
      </c>
      <c r="C29" s="14" t="s">
        <v>133</v>
      </c>
    </row>
    <row r="30" spans="1:3" x14ac:dyDescent="0.25">
      <c r="A30" s="15" t="s">
        <v>98</v>
      </c>
      <c r="B30" s="15" t="s">
        <v>127</v>
      </c>
      <c r="C30" s="15" t="s">
        <v>117</v>
      </c>
    </row>
    <row r="31" spans="1:3" x14ac:dyDescent="0.25">
      <c r="A31" s="15" t="s">
        <v>97</v>
      </c>
      <c r="B31" s="15" t="s">
        <v>128</v>
      </c>
      <c r="C31" s="15" t="s">
        <v>116</v>
      </c>
    </row>
    <row r="32" spans="1:3" x14ac:dyDescent="0.25">
      <c r="A32" s="14"/>
      <c r="B32" s="14"/>
      <c r="C32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21" sqref="C21"/>
    </sheetView>
  </sheetViews>
  <sheetFormatPr defaultRowHeight="15" x14ac:dyDescent="0.25"/>
  <cols>
    <col min="1" max="14" width="20" customWidth="1"/>
  </cols>
  <sheetData>
    <row r="1" spans="1:5" ht="18.75" x14ac:dyDescent="0.3">
      <c r="A1" s="2" t="s">
        <v>8</v>
      </c>
    </row>
    <row r="2" spans="1:5" x14ac:dyDescent="0.25">
      <c r="B2" t="s">
        <v>75</v>
      </c>
      <c r="C2" t="s">
        <v>76</v>
      </c>
      <c r="D2" t="s">
        <v>77</v>
      </c>
      <c r="E2" t="s">
        <v>78</v>
      </c>
    </row>
    <row r="3" spans="1:5" x14ac:dyDescent="0.25">
      <c r="A3" t="s">
        <v>9</v>
      </c>
      <c r="B3" s="13">
        <v>358687</v>
      </c>
      <c r="C3">
        <v>834200</v>
      </c>
      <c r="D3">
        <v>2790165</v>
      </c>
      <c r="E3">
        <v>237000</v>
      </c>
    </row>
    <row r="4" spans="1:5" x14ac:dyDescent="0.25">
      <c r="A4" t="s">
        <v>10</v>
      </c>
    </row>
    <row r="5" spans="1:5" x14ac:dyDescent="0.25">
      <c r="A5" t="s">
        <v>11</v>
      </c>
      <c r="B5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D70"/>
  <sheetViews>
    <sheetView zoomScale="70" zoomScaleNormal="70" workbookViewId="0">
      <selection activeCell="B45" sqref="B45"/>
    </sheetView>
  </sheetViews>
  <sheetFormatPr defaultRowHeight="15" x14ac:dyDescent="0.25"/>
  <cols>
    <col min="1" max="1" width="12.85546875" customWidth="1"/>
    <col min="2" max="2" width="39.140625" bestFit="1" customWidth="1"/>
    <col min="3" max="3" width="17.85546875" customWidth="1"/>
    <col min="4" max="4" width="209.7109375" customWidth="1"/>
  </cols>
  <sheetData>
    <row r="3" spans="1:4" ht="26.25" x14ac:dyDescent="0.4">
      <c r="A3" s="35" t="s">
        <v>167</v>
      </c>
      <c r="B3" s="35"/>
      <c r="C3" s="35"/>
      <c r="D3" s="35"/>
    </row>
    <row r="5" spans="1:4" x14ac:dyDescent="0.25">
      <c r="A5" s="5" t="s">
        <v>7</v>
      </c>
      <c r="B5" s="6" t="s">
        <v>12</v>
      </c>
      <c r="C5" s="7" t="s">
        <v>13</v>
      </c>
      <c r="D5" s="8" t="s">
        <v>14</v>
      </c>
    </row>
    <row r="6" spans="1:4" x14ac:dyDescent="0.25">
      <c r="A6" s="18">
        <v>46029</v>
      </c>
      <c r="B6" s="9" t="s">
        <v>15</v>
      </c>
      <c r="C6" s="9">
        <v>260</v>
      </c>
      <c r="D6" s="9" t="s">
        <v>40</v>
      </c>
    </row>
    <row r="7" spans="1:4" x14ac:dyDescent="0.25">
      <c r="A7" s="18">
        <v>46060</v>
      </c>
      <c r="B7" s="9" t="s">
        <v>15</v>
      </c>
      <c r="C7" s="9">
        <v>240</v>
      </c>
      <c r="D7" s="9" t="s">
        <v>41</v>
      </c>
    </row>
    <row r="8" spans="1:4" x14ac:dyDescent="0.25">
      <c r="A8" s="18">
        <v>46060</v>
      </c>
      <c r="B8" s="9" t="s">
        <v>35</v>
      </c>
      <c r="C8" s="9">
        <v>70</v>
      </c>
      <c r="D8" s="9" t="s">
        <v>42</v>
      </c>
    </row>
    <row r="9" spans="1:4" x14ac:dyDescent="0.25">
      <c r="A9" s="18">
        <v>46060</v>
      </c>
      <c r="B9" s="9" t="s">
        <v>154</v>
      </c>
      <c r="C9" s="9">
        <v>2000</v>
      </c>
      <c r="D9" s="9" t="s">
        <v>43</v>
      </c>
    </row>
    <row r="10" spans="1:4" x14ac:dyDescent="0.25">
      <c r="A10" s="18">
        <v>46060</v>
      </c>
      <c r="B10" s="9" t="s">
        <v>15</v>
      </c>
      <c r="C10" s="9">
        <v>500</v>
      </c>
      <c r="D10" s="9" t="s">
        <v>159</v>
      </c>
    </row>
    <row r="11" spans="1:4" x14ac:dyDescent="0.25">
      <c r="A11" s="18">
        <v>46088</v>
      </c>
      <c r="B11" s="9" t="s">
        <v>37</v>
      </c>
      <c r="C11" s="9">
        <v>635</v>
      </c>
      <c r="D11" s="9" t="s">
        <v>44</v>
      </c>
    </row>
    <row r="12" spans="1:4" x14ac:dyDescent="0.25">
      <c r="A12" s="18">
        <v>46119</v>
      </c>
      <c r="B12" s="9" t="s">
        <v>15</v>
      </c>
      <c r="C12" s="9">
        <v>7220</v>
      </c>
      <c r="D12" s="9" t="s">
        <v>45</v>
      </c>
    </row>
    <row r="13" spans="1:4" x14ac:dyDescent="0.25">
      <c r="A13" s="18">
        <v>46149</v>
      </c>
      <c r="B13" s="9" t="s">
        <v>15</v>
      </c>
      <c r="C13" s="9">
        <v>80</v>
      </c>
      <c r="D13" s="9" t="s">
        <v>47</v>
      </c>
    </row>
    <row r="14" spans="1:4" x14ac:dyDescent="0.25">
      <c r="A14" s="18">
        <v>46149</v>
      </c>
      <c r="B14" s="9" t="s">
        <v>36</v>
      </c>
      <c r="C14" s="9">
        <v>110</v>
      </c>
      <c r="D14" s="9" t="s">
        <v>46</v>
      </c>
    </row>
    <row r="15" spans="1:4" x14ac:dyDescent="0.25">
      <c r="A15" s="18">
        <v>46180</v>
      </c>
      <c r="B15" s="9" t="s">
        <v>15</v>
      </c>
      <c r="C15" s="9">
        <v>155</v>
      </c>
      <c r="D15" s="9" t="s">
        <v>49</v>
      </c>
    </row>
    <row r="16" spans="1:4" x14ac:dyDescent="0.25">
      <c r="A16" s="18">
        <v>46180</v>
      </c>
      <c r="B16" s="9" t="s">
        <v>36</v>
      </c>
      <c r="C16" s="9">
        <v>605</v>
      </c>
      <c r="D16" s="9" t="s">
        <v>48</v>
      </c>
    </row>
    <row r="17" spans="1:4" x14ac:dyDescent="0.25">
      <c r="A17" s="18">
        <v>46210</v>
      </c>
      <c r="B17" s="9" t="s">
        <v>15</v>
      </c>
      <c r="C17" s="9">
        <v>140</v>
      </c>
      <c r="D17" s="9" t="s">
        <v>50</v>
      </c>
    </row>
    <row r="18" spans="1:4" ht="16.5" customHeight="1" x14ac:dyDescent="0.25">
      <c r="A18" s="18">
        <v>46210</v>
      </c>
      <c r="B18" s="9" t="s">
        <v>36</v>
      </c>
      <c r="C18" s="9">
        <v>745</v>
      </c>
      <c r="D18" s="10" t="s">
        <v>52</v>
      </c>
    </row>
    <row r="19" spans="1:4" x14ac:dyDescent="0.25">
      <c r="A19" s="18">
        <v>46210</v>
      </c>
      <c r="B19" s="9" t="s">
        <v>141</v>
      </c>
      <c r="C19" s="9">
        <v>220</v>
      </c>
      <c r="D19" s="9" t="s">
        <v>51</v>
      </c>
    </row>
    <row r="20" spans="1:4" x14ac:dyDescent="0.25">
      <c r="A20" s="18">
        <v>46241</v>
      </c>
      <c r="B20" s="9" t="s">
        <v>15</v>
      </c>
      <c r="C20" s="9">
        <v>190</v>
      </c>
      <c r="D20" s="9" t="s">
        <v>53</v>
      </c>
    </row>
    <row r="21" spans="1:4" x14ac:dyDescent="0.25">
      <c r="A21" s="18">
        <v>46241</v>
      </c>
      <c r="B21" s="9" t="s">
        <v>36</v>
      </c>
      <c r="C21" s="9">
        <v>325</v>
      </c>
      <c r="D21" s="9" t="s">
        <v>54</v>
      </c>
    </row>
    <row r="22" spans="1:4" x14ac:dyDescent="0.25">
      <c r="A22" s="18">
        <v>46272</v>
      </c>
      <c r="B22" s="9" t="s">
        <v>36</v>
      </c>
      <c r="C22" s="9">
        <v>100</v>
      </c>
      <c r="D22" s="9" t="s">
        <v>55</v>
      </c>
    </row>
    <row r="23" spans="1:4" x14ac:dyDescent="0.25">
      <c r="A23" s="18">
        <v>46333</v>
      </c>
      <c r="B23" s="9" t="s">
        <v>15</v>
      </c>
      <c r="C23" s="9">
        <v>80</v>
      </c>
      <c r="D23" s="9" t="s">
        <v>57</v>
      </c>
    </row>
    <row r="24" spans="1:4" x14ac:dyDescent="0.25">
      <c r="A24" s="18">
        <v>46333</v>
      </c>
      <c r="B24" s="9" t="s">
        <v>36</v>
      </c>
      <c r="C24" s="9">
        <v>565</v>
      </c>
      <c r="D24" s="9" t="s">
        <v>56</v>
      </c>
    </row>
    <row r="25" spans="1:4" x14ac:dyDescent="0.25">
      <c r="A25" s="18">
        <v>46333</v>
      </c>
      <c r="B25" s="9" t="s">
        <v>141</v>
      </c>
      <c r="C25" s="9">
        <v>100</v>
      </c>
      <c r="D25" s="9" t="s">
        <v>155</v>
      </c>
    </row>
    <row r="26" spans="1:4" x14ac:dyDescent="0.25">
      <c r="A26" s="18">
        <v>46333</v>
      </c>
      <c r="B26" s="9" t="s">
        <v>39</v>
      </c>
      <c r="C26" s="9">
        <v>350</v>
      </c>
      <c r="D26" s="9" t="s">
        <v>156</v>
      </c>
    </row>
    <row r="27" spans="1:4" x14ac:dyDescent="0.25">
      <c r="A27" s="18">
        <v>46363</v>
      </c>
      <c r="B27" s="9" t="s">
        <v>15</v>
      </c>
      <c r="C27" s="9">
        <v>135</v>
      </c>
      <c r="D27" s="9" t="s">
        <v>162</v>
      </c>
    </row>
    <row r="28" spans="1:4" x14ac:dyDescent="0.25">
      <c r="A28" s="18">
        <v>46363</v>
      </c>
      <c r="B28" s="9" t="s">
        <v>36</v>
      </c>
      <c r="C28" s="9">
        <v>835</v>
      </c>
      <c r="D28" s="9" t="s">
        <v>58</v>
      </c>
    </row>
    <row r="29" spans="1:4" x14ac:dyDescent="0.25">
      <c r="A29" s="18">
        <v>46363</v>
      </c>
      <c r="B29" s="9" t="s">
        <v>141</v>
      </c>
      <c r="C29" s="9">
        <v>750</v>
      </c>
      <c r="D29" s="9" t="s">
        <v>157</v>
      </c>
    </row>
    <row r="30" spans="1:4" x14ac:dyDescent="0.25">
      <c r="A30" s="18">
        <v>46363</v>
      </c>
      <c r="B30" s="9" t="s">
        <v>38</v>
      </c>
      <c r="C30" s="9">
        <v>780</v>
      </c>
      <c r="D30" s="9" t="s">
        <v>158</v>
      </c>
    </row>
    <row r="31" spans="1:4" x14ac:dyDescent="0.25">
      <c r="A31" s="19" t="s">
        <v>16</v>
      </c>
      <c r="B31" s="9" t="s">
        <v>15</v>
      </c>
      <c r="C31" s="9">
        <v>605</v>
      </c>
      <c r="D31" s="9" t="s">
        <v>166</v>
      </c>
    </row>
    <row r="32" spans="1:4" x14ac:dyDescent="0.25">
      <c r="A32" s="19" t="s">
        <v>16</v>
      </c>
      <c r="B32" s="9" t="s">
        <v>36</v>
      </c>
      <c r="C32" s="9">
        <v>20</v>
      </c>
      <c r="D32" s="9" t="s">
        <v>59</v>
      </c>
    </row>
    <row r="33" spans="1:4" x14ac:dyDescent="0.25">
      <c r="A33" s="19" t="s">
        <v>16</v>
      </c>
      <c r="B33" s="9" t="s">
        <v>38</v>
      </c>
      <c r="C33" s="9">
        <v>1020</v>
      </c>
      <c r="D33" s="9" t="s">
        <v>69</v>
      </c>
    </row>
    <row r="34" spans="1:4" x14ac:dyDescent="0.25">
      <c r="A34" s="19" t="s">
        <v>17</v>
      </c>
      <c r="B34" s="9" t="s">
        <v>15</v>
      </c>
      <c r="C34" s="9">
        <v>60</v>
      </c>
      <c r="D34" s="9" t="s">
        <v>61</v>
      </c>
    </row>
    <row r="35" spans="1:4" x14ac:dyDescent="0.25">
      <c r="A35" s="19" t="s">
        <v>17</v>
      </c>
      <c r="B35" s="9" t="s">
        <v>141</v>
      </c>
      <c r="C35" s="9">
        <v>80</v>
      </c>
      <c r="D35" s="9" t="s">
        <v>60</v>
      </c>
    </row>
    <row r="36" spans="1:4" x14ac:dyDescent="0.25">
      <c r="A36" s="19" t="s">
        <v>18</v>
      </c>
      <c r="B36" s="9" t="s">
        <v>15</v>
      </c>
      <c r="C36" s="9">
        <v>80</v>
      </c>
      <c r="D36" s="9" t="s">
        <v>63</v>
      </c>
    </row>
    <row r="37" spans="1:4" x14ac:dyDescent="0.25">
      <c r="A37" s="19" t="s">
        <v>18</v>
      </c>
      <c r="B37" s="9" t="s">
        <v>141</v>
      </c>
      <c r="C37" s="9">
        <v>700</v>
      </c>
      <c r="D37" s="9" t="s">
        <v>62</v>
      </c>
    </row>
    <row r="38" spans="1:4" x14ac:dyDescent="0.25">
      <c r="A38" s="19" t="s">
        <v>19</v>
      </c>
      <c r="B38" s="9" t="s">
        <v>15</v>
      </c>
      <c r="C38" s="9">
        <v>236</v>
      </c>
      <c r="D38" s="9" t="s">
        <v>163</v>
      </c>
    </row>
    <row r="39" spans="1:4" x14ac:dyDescent="0.25">
      <c r="A39" s="19" t="s">
        <v>19</v>
      </c>
      <c r="B39" s="9" t="s">
        <v>36</v>
      </c>
      <c r="C39" s="9">
        <v>20</v>
      </c>
      <c r="D39" s="9" t="s">
        <v>64</v>
      </c>
    </row>
    <row r="40" spans="1:4" x14ac:dyDescent="0.25">
      <c r="A40" s="19" t="s">
        <v>19</v>
      </c>
      <c r="B40" s="9" t="s">
        <v>38</v>
      </c>
      <c r="C40" s="9">
        <v>80</v>
      </c>
      <c r="D40" s="9" t="s">
        <v>65</v>
      </c>
    </row>
    <row r="41" spans="1:4" x14ac:dyDescent="0.25">
      <c r="A41" s="19" t="s">
        <v>19</v>
      </c>
      <c r="B41" s="9" t="s">
        <v>15</v>
      </c>
      <c r="C41" s="9">
        <v>1740</v>
      </c>
      <c r="D41" s="9" t="s">
        <v>71</v>
      </c>
    </row>
    <row r="42" spans="1:4" x14ac:dyDescent="0.25">
      <c r="A42" s="19" t="s">
        <v>20</v>
      </c>
      <c r="B42" s="9" t="s">
        <v>15</v>
      </c>
      <c r="C42" s="9">
        <v>90</v>
      </c>
      <c r="D42" s="9" t="s">
        <v>67</v>
      </c>
    </row>
    <row r="43" spans="1:4" x14ac:dyDescent="0.25">
      <c r="A43" s="19" t="s">
        <v>20</v>
      </c>
      <c r="B43" s="9" t="s">
        <v>36</v>
      </c>
      <c r="C43" s="9">
        <v>20</v>
      </c>
      <c r="D43" s="9" t="s">
        <v>66</v>
      </c>
    </row>
    <row r="44" spans="1:4" x14ac:dyDescent="0.25">
      <c r="A44" s="19" t="s">
        <v>21</v>
      </c>
      <c r="B44" s="9" t="s">
        <v>15</v>
      </c>
      <c r="C44" s="9">
        <v>535</v>
      </c>
      <c r="D44" s="9" t="s">
        <v>165</v>
      </c>
    </row>
    <row r="45" spans="1:4" x14ac:dyDescent="0.25">
      <c r="A45" s="19" t="s">
        <v>21</v>
      </c>
      <c r="B45" s="9" t="s">
        <v>36</v>
      </c>
      <c r="C45" s="9">
        <v>100</v>
      </c>
      <c r="D45" s="9" t="s">
        <v>70</v>
      </c>
    </row>
    <row r="46" spans="1:4" x14ac:dyDescent="0.25">
      <c r="A46" s="19" t="s">
        <v>21</v>
      </c>
      <c r="B46" s="11" t="s">
        <v>38</v>
      </c>
      <c r="C46" s="11">
        <v>70</v>
      </c>
      <c r="D46" s="11" t="s">
        <v>68</v>
      </c>
    </row>
    <row r="47" spans="1:4" x14ac:dyDescent="0.25">
      <c r="A47" s="20" t="s">
        <v>72</v>
      </c>
      <c r="B47" s="9"/>
      <c r="C47" s="9"/>
      <c r="D47" s="9"/>
    </row>
    <row r="48" spans="1:4" x14ac:dyDescent="0.25">
      <c r="A48" s="20" t="s">
        <v>73</v>
      </c>
      <c r="B48" s="9" t="s">
        <v>36</v>
      </c>
      <c r="C48" s="9">
        <v>1040</v>
      </c>
      <c r="D48" s="16" t="s">
        <v>138</v>
      </c>
    </row>
    <row r="49" spans="1:4" x14ac:dyDescent="0.25">
      <c r="A49" s="21" t="s">
        <v>84</v>
      </c>
      <c r="B49" s="12" t="s">
        <v>36</v>
      </c>
      <c r="C49" s="12">
        <v>590</v>
      </c>
      <c r="D49" s="12" t="s">
        <v>135</v>
      </c>
    </row>
    <row r="50" spans="1:4" x14ac:dyDescent="0.25">
      <c r="A50" s="21" t="s">
        <v>85</v>
      </c>
      <c r="B50" s="12" t="s">
        <v>139</v>
      </c>
      <c r="C50" s="12">
        <v>804</v>
      </c>
      <c r="D50" s="12" t="s">
        <v>140</v>
      </c>
    </row>
    <row r="51" spans="1:4" x14ac:dyDescent="0.25">
      <c r="A51" s="21" t="s">
        <v>74</v>
      </c>
      <c r="B51" s="12" t="s">
        <v>141</v>
      </c>
      <c r="C51" s="12">
        <v>8000</v>
      </c>
      <c r="D51" s="12" t="s">
        <v>142</v>
      </c>
    </row>
    <row r="52" spans="1:4" x14ac:dyDescent="0.25">
      <c r="A52" s="21" t="s">
        <v>74</v>
      </c>
      <c r="B52" s="12" t="s">
        <v>36</v>
      </c>
      <c r="C52" s="12">
        <v>1670</v>
      </c>
      <c r="D52" s="12" t="s">
        <v>136</v>
      </c>
    </row>
    <row r="53" spans="1:4" x14ac:dyDescent="0.25">
      <c r="A53" s="21" t="s">
        <v>79</v>
      </c>
      <c r="B53" s="12" t="s">
        <v>141</v>
      </c>
      <c r="C53" s="12">
        <v>5000</v>
      </c>
      <c r="D53" s="12" t="s">
        <v>143</v>
      </c>
    </row>
    <row r="54" spans="1:4" x14ac:dyDescent="0.25">
      <c r="A54" s="21" t="s">
        <v>79</v>
      </c>
      <c r="B54" s="12" t="s">
        <v>15</v>
      </c>
      <c r="C54" s="12">
        <v>160</v>
      </c>
      <c r="D54" s="12" t="s">
        <v>146</v>
      </c>
    </row>
    <row r="55" spans="1:4" x14ac:dyDescent="0.25">
      <c r="A55" s="21" t="s">
        <v>79</v>
      </c>
      <c r="B55" s="12" t="s">
        <v>38</v>
      </c>
      <c r="C55" s="12">
        <v>675</v>
      </c>
      <c r="D55" s="12" t="s">
        <v>149</v>
      </c>
    </row>
    <row r="56" spans="1:4" x14ac:dyDescent="0.25">
      <c r="A56" s="21" t="s">
        <v>79</v>
      </c>
      <c r="B56" s="12" t="s">
        <v>147</v>
      </c>
      <c r="C56" s="12">
        <v>500</v>
      </c>
      <c r="D56" s="12" t="s">
        <v>148</v>
      </c>
    </row>
    <row r="57" spans="1:4" x14ac:dyDescent="0.25">
      <c r="A57" s="21" t="s">
        <v>79</v>
      </c>
      <c r="B57" s="12" t="s">
        <v>36</v>
      </c>
      <c r="C57" s="12">
        <v>150</v>
      </c>
      <c r="D57" s="12" t="s">
        <v>145</v>
      </c>
    </row>
    <row r="58" spans="1:4" x14ac:dyDescent="0.25">
      <c r="A58" s="21" t="s">
        <v>79</v>
      </c>
      <c r="B58" s="12" t="s">
        <v>141</v>
      </c>
      <c r="C58" s="12">
        <v>300</v>
      </c>
      <c r="D58" s="12" t="s">
        <v>144</v>
      </c>
    </row>
    <row r="59" spans="1:4" x14ac:dyDescent="0.25">
      <c r="A59" s="21" t="s">
        <v>80</v>
      </c>
      <c r="B59" s="12" t="s">
        <v>36</v>
      </c>
      <c r="C59" s="12">
        <v>3520</v>
      </c>
      <c r="D59" s="12" t="s">
        <v>137</v>
      </c>
    </row>
    <row r="60" spans="1:4" x14ac:dyDescent="0.25">
      <c r="A60" s="21" t="s">
        <v>81</v>
      </c>
      <c r="B60" s="12" t="s">
        <v>15</v>
      </c>
      <c r="C60" s="12">
        <v>135</v>
      </c>
      <c r="D60" s="12" t="s">
        <v>164</v>
      </c>
    </row>
    <row r="61" spans="1:4" x14ac:dyDescent="0.25">
      <c r="A61" s="21" t="s">
        <v>82</v>
      </c>
      <c r="B61" s="9" t="s">
        <v>36</v>
      </c>
      <c r="C61" s="9">
        <v>200</v>
      </c>
      <c r="D61" s="9" t="s">
        <v>134</v>
      </c>
    </row>
    <row r="62" spans="1:4" x14ac:dyDescent="0.25">
      <c r="A62" s="21" t="s">
        <v>82</v>
      </c>
      <c r="B62" s="9" t="s">
        <v>15</v>
      </c>
      <c r="C62" s="9">
        <v>1100</v>
      </c>
      <c r="D62" s="9" t="s">
        <v>152</v>
      </c>
    </row>
    <row r="63" spans="1:4" x14ac:dyDescent="0.25">
      <c r="A63" s="21" t="s">
        <v>82</v>
      </c>
      <c r="B63" s="9" t="s">
        <v>36</v>
      </c>
      <c r="C63" s="9">
        <v>70</v>
      </c>
      <c r="D63" s="9" t="s">
        <v>150</v>
      </c>
    </row>
    <row r="64" spans="1:4" x14ac:dyDescent="0.25">
      <c r="A64" s="21" t="s">
        <v>82</v>
      </c>
      <c r="B64" s="9" t="s">
        <v>34</v>
      </c>
      <c r="C64" s="9">
        <v>10000</v>
      </c>
      <c r="D64" s="9" t="s">
        <v>153</v>
      </c>
    </row>
    <row r="65" spans="1:4" x14ac:dyDescent="0.25">
      <c r="A65" s="21" t="s">
        <v>82</v>
      </c>
      <c r="B65" s="9" t="s">
        <v>147</v>
      </c>
      <c r="C65" s="9">
        <v>2850</v>
      </c>
      <c r="D65" s="9" t="s">
        <v>151</v>
      </c>
    </row>
    <row r="66" spans="1:4" x14ac:dyDescent="0.25">
      <c r="A66" s="21" t="s">
        <v>83</v>
      </c>
      <c r="B66" s="9" t="s">
        <v>15</v>
      </c>
      <c r="C66" s="9">
        <v>30</v>
      </c>
      <c r="D66" s="9"/>
    </row>
    <row r="67" spans="1:4" x14ac:dyDescent="0.25">
      <c r="A67" s="22"/>
      <c r="B67" s="23" t="s">
        <v>86</v>
      </c>
      <c r="C67" s="24">
        <f>SUM(C6:C66)</f>
        <v>59440</v>
      </c>
      <c r="D67" s="22"/>
    </row>
    <row r="69" spans="1:4" x14ac:dyDescent="0.25">
      <c r="B69" s="3" t="s">
        <v>160</v>
      </c>
      <c r="C69" s="3">
        <f>SUM(C6:C22)</f>
        <v>13595</v>
      </c>
    </row>
    <row r="70" spans="1:4" x14ac:dyDescent="0.25">
      <c r="B70" s="3" t="s">
        <v>161</v>
      </c>
      <c r="C70" s="3">
        <f>SUM(C23:C66)</f>
        <v>45845</v>
      </c>
    </row>
  </sheetData>
  <mergeCells count="1">
    <mergeCell ref="A3:D3"/>
  </mergeCells>
  <pageMargins left="0.7" right="0.7" top="0.75" bottom="0.75" header="0.3" footer="0.3"/>
  <pageSetup scale="4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16"/>
  <sheetViews>
    <sheetView topLeftCell="B1" zoomScaleNormal="100" workbookViewId="0">
      <selection activeCell="D9" sqref="D9"/>
    </sheetView>
  </sheetViews>
  <sheetFormatPr defaultRowHeight="15" x14ac:dyDescent="0.25"/>
  <cols>
    <col min="3" max="3" width="27.7109375" customWidth="1"/>
    <col min="4" max="4" width="15" customWidth="1"/>
    <col min="5" max="5" width="41.28515625" customWidth="1"/>
  </cols>
  <sheetData>
    <row r="4" spans="3:5" x14ac:dyDescent="0.25">
      <c r="C4" s="3" t="s">
        <v>23</v>
      </c>
      <c r="D4" s="4" t="s">
        <v>32</v>
      </c>
      <c r="E4" s="4" t="s">
        <v>33</v>
      </c>
    </row>
    <row r="5" spans="3:5" x14ac:dyDescent="0.25">
      <c r="C5" s="17" t="s">
        <v>141</v>
      </c>
      <c r="D5" s="4">
        <f>'Expenditure-July 26'!C19+'Expenditure-July 26'!C25+'Expenditure-July 26'!C29+'Expenditure-July 26'!C35+'Expenditure-July 26'!C37+'Expenditure-July 26'!C51+'Expenditure-July 26'!C53+'Expenditure-July 26'!C56+'Expenditure-July 26'!C58+'Expenditure-July 26'!C65</f>
        <v>18500</v>
      </c>
      <c r="E5" s="4"/>
    </row>
    <row r="6" spans="3:5" x14ac:dyDescent="0.25">
      <c r="C6" s="17" t="s">
        <v>139</v>
      </c>
      <c r="D6" s="4"/>
      <c r="E6" s="4"/>
    </row>
    <row r="7" spans="3:5" x14ac:dyDescent="0.25">
      <c r="C7" t="s">
        <v>22</v>
      </c>
      <c r="D7">
        <f>'Expenditure-July 26'!C6+'Expenditure-July 26'!C7+'Expenditure-July 26'!C12+'Expenditure-July 26'!C13+'Expenditure-July 26'!C15+'Expenditure-July 26'!C17+'Expenditure-July 26'!C20+'Expenditure-July 26'!C23+'Expenditure-July 26'!C27+'Expenditure-July 26'!C31+'Expenditure-July 26'!C34+'Expenditure-July 26'!C36+'Expenditure-July 26'!C38+'Expenditure-July 26'!C41+'Expenditure-July 26'!C42+'Expenditure-July 26'!C44</f>
        <v>11846</v>
      </c>
    </row>
    <row r="8" spans="3:5" x14ac:dyDescent="0.25">
      <c r="C8" t="s">
        <v>24</v>
      </c>
      <c r="D8">
        <f>'Expenditure-July 26'!C19+'Expenditure-July 26'!C26+'Expenditure-July 26'!C30+'Expenditure-July 26'!C33+'Expenditure-July 26'!C35+'Expenditure-July 26'!C37+'Expenditure-July 26'!C40+'Expenditure-July 26'!C46</f>
        <v>3300</v>
      </c>
    </row>
    <row r="9" spans="3:5" x14ac:dyDescent="0.25">
      <c r="C9" t="s">
        <v>25</v>
      </c>
      <c r="D9">
        <f>'Expenditure-July 26'!C8+'Expenditure-July 26'!C14+'Expenditure-July 26'!C16+'Expenditure-July 26'!C18+'Expenditure-July 26'!C21+'Expenditure-July 26'!C22+'Expenditure-July 26'!C24+'Expenditure-July 26'!C28+'Expenditure-July 26'!C32+'Expenditure-July 26'!C39+'Expenditure-July 26'!C43+'Expenditure-July 26'!C45</f>
        <v>3515</v>
      </c>
    </row>
    <row r="10" spans="3:5" x14ac:dyDescent="0.25">
      <c r="C10" t="s">
        <v>26</v>
      </c>
    </row>
    <row r="11" spans="3:5" x14ac:dyDescent="0.25">
      <c r="C11" t="s">
        <v>27</v>
      </c>
    </row>
    <row r="12" spans="3:5" x14ac:dyDescent="0.25">
      <c r="C12" t="s">
        <v>28</v>
      </c>
    </row>
    <row r="13" spans="3:5" x14ac:dyDescent="0.25">
      <c r="C13" t="s">
        <v>29</v>
      </c>
    </row>
    <row r="14" spans="3:5" x14ac:dyDescent="0.25">
      <c r="C14" t="s">
        <v>30</v>
      </c>
    </row>
    <row r="15" spans="3:5" x14ac:dyDescent="0.25">
      <c r="C15" t="s">
        <v>31</v>
      </c>
    </row>
    <row r="16" spans="3:5" x14ac:dyDescent="0.25">
      <c r="C16" t="s">
        <v>34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4"/>
  <sheetViews>
    <sheetView tabSelected="1" topLeftCell="A4" zoomScale="85" zoomScaleNormal="85" workbookViewId="0">
      <selection activeCell="D21" sqref="D21"/>
    </sheetView>
  </sheetViews>
  <sheetFormatPr defaultRowHeight="15" x14ac:dyDescent="0.25"/>
  <cols>
    <col min="1" max="1" width="8.85546875" style="30" bestFit="1" customWidth="1"/>
    <col min="2" max="2" width="20.42578125" bestFit="1" customWidth="1"/>
    <col min="3" max="3" width="10.5703125" style="37" bestFit="1" customWidth="1"/>
    <col min="4" max="4" width="237.85546875" bestFit="1" customWidth="1"/>
  </cols>
  <sheetData>
    <row r="2" spans="1:4" ht="26.25" x14ac:dyDescent="0.4">
      <c r="A2" s="35" t="s">
        <v>168</v>
      </c>
      <c r="B2" s="35"/>
      <c r="C2" s="35"/>
      <c r="D2" s="35"/>
    </row>
    <row r="4" spans="1:4" x14ac:dyDescent="0.25">
      <c r="A4" s="29" t="s">
        <v>7</v>
      </c>
      <c r="B4" s="6" t="s">
        <v>12</v>
      </c>
      <c r="C4" s="36" t="s">
        <v>13</v>
      </c>
      <c r="D4" s="28" t="s">
        <v>14</v>
      </c>
    </row>
    <row r="5" spans="1:4" x14ac:dyDescent="0.25">
      <c r="A5" s="25">
        <v>46030</v>
      </c>
      <c r="B5" s="33" t="s">
        <v>15</v>
      </c>
      <c r="C5" s="32">
        <v>135</v>
      </c>
      <c r="D5" s="33" t="s">
        <v>162</v>
      </c>
    </row>
    <row r="6" spans="1:4" x14ac:dyDescent="0.25">
      <c r="A6" s="25">
        <v>46061</v>
      </c>
      <c r="B6" s="33" t="s">
        <v>15</v>
      </c>
      <c r="C6" s="32">
        <v>20</v>
      </c>
      <c r="D6" s="33" t="s">
        <v>172</v>
      </c>
    </row>
    <row r="7" spans="1:4" x14ac:dyDescent="0.25">
      <c r="A7" s="25">
        <v>46061</v>
      </c>
      <c r="B7" s="33" t="s">
        <v>141</v>
      </c>
      <c r="C7" s="32">
        <v>200</v>
      </c>
      <c r="D7" s="33" t="s">
        <v>173</v>
      </c>
    </row>
    <row r="8" spans="1:4" ht="30.75" customHeight="1" x14ac:dyDescent="0.25">
      <c r="A8" s="25">
        <v>46061</v>
      </c>
      <c r="B8" s="33" t="s">
        <v>36</v>
      </c>
      <c r="C8" s="32">
        <v>310</v>
      </c>
      <c r="D8" s="33" t="s">
        <v>171</v>
      </c>
    </row>
    <row r="9" spans="1:4" ht="30.75" customHeight="1" x14ac:dyDescent="0.25">
      <c r="A9" s="25">
        <v>46089</v>
      </c>
      <c r="B9" s="33" t="s">
        <v>36</v>
      </c>
      <c r="C9" s="32">
        <v>720</v>
      </c>
      <c r="D9" s="33" t="s">
        <v>175</v>
      </c>
    </row>
    <row r="10" spans="1:4" x14ac:dyDescent="0.25">
      <c r="A10" s="27">
        <v>46089</v>
      </c>
      <c r="B10" s="33" t="s">
        <v>15</v>
      </c>
      <c r="C10" s="32">
        <v>175</v>
      </c>
      <c r="D10" s="33" t="s">
        <v>174</v>
      </c>
    </row>
    <row r="11" spans="1:4" x14ac:dyDescent="0.25">
      <c r="A11" s="27"/>
      <c r="B11" s="33"/>
      <c r="C11" s="32"/>
      <c r="D11" s="34" t="s">
        <v>176</v>
      </c>
    </row>
    <row r="12" spans="1:4" x14ac:dyDescent="0.25">
      <c r="A12" s="27">
        <v>46089</v>
      </c>
      <c r="B12" s="33" t="s">
        <v>141</v>
      </c>
      <c r="C12" s="32">
        <v>60</v>
      </c>
      <c r="D12" s="33" t="s">
        <v>173</v>
      </c>
    </row>
    <row r="13" spans="1:4" x14ac:dyDescent="0.25">
      <c r="A13" s="27">
        <v>46089</v>
      </c>
      <c r="B13" s="33" t="s">
        <v>36</v>
      </c>
      <c r="C13" s="32">
        <v>720</v>
      </c>
      <c r="D13" s="33" t="s">
        <v>169</v>
      </c>
    </row>
    <row r="14" spans="1:4" x14ac:dyDescent="0.25">
      <c r="A14" s="27">
        <v>46120</v>
      </c>
      <c r="B14" s="33" t="s">
        <v>15</v>
      </c>
      <c r="C14" s="32">
        <v>20000</v>
      </c>
      <c r="D14" s="33" t="s">
        <v>170</v>
      </c>
    </row>
    <row r="15" spans="1:4" x14ac:dyDescent="0.25">
      <c r="A15" s="27">
        <v>46120</v>
      </c>
      <c r="B15" s="9" t="s">
        <v>15</v>
      </c>
      <c r="C15" s="31">
        <v>180</v>
      </c>
      <c r="D15" s="9" t="s">
        <v>177</v>
      </c>
    </row>
    <row r="16" spans="1:4" x14ac:dyDescent="0.25">
      <c r="A16" s="27">
        <v>46120</v>
      </c>
      <c r="B16" s="9" t="s">
        <v>36</v>
      </c>
      <c r="C16" s="31">
        <v>240</v>
      </c>
      <c r="D16" s="9" t="s">
        <v>178</v>
      </c>
    </row>
    <row r="17" spans="1:4" x14ac:dyDescent="0.25">
      <c r="A17" s="26">
        <v>46120</v>
      </c>
      <c r="B17" s="9" t="s">
        <v>141</v>
      </c>
      <c r="C17" s="31">
        <v>210</v>
      </c>
      <c r="D17" s="9" t="s">
        <v>179</v>
      </c>
    </row>
    <row r="18" spans="1:4" x14ac:dyDescent="0.25">
      <c r="A18" s="26">
        <v>46181</v>
      </c>
      <c r="B18" s="9" t="s">
        <v>181</v>
      </c>
      <c r="C18" s="31">
        <v>3000</v>
      </c>
      <c r="D18" s="9" t="s">
        <v>180</v>
      </c>
    </row>
    <row r="19" spans="1:4" x14ac:dyDescent="0.25">
      <c r="A19" s="26">
        <v>46181</v>
      </c>
      <c r="B19" s="9"/>
      <c r="C19" s="31"/>
      <c r="D19" s="9"/>
    </row>
    <row r="20" spans="1:4" x14ac:dyDescent="0.25">
      <c r="A20" s="26">
        <v>46181</v>
      </c>
      <c r="B20" s="9"/>
      <c r="C20" s="31"/>
      <c r="D20" s="9"/>
    </row>
    <row r="21" spans="1:4" x14ac:dyDescent="0.25">
      <c r="A21" s="26"/>
      <c r="B21" s="9"/>
      <c r="C21" s="31"/>
      <c r="D21" s="9"/>
    </row>
    <row r="22" spans="1:4" x14ac:dyDescent="0.25">
      <c r="A22" s="26"/>
      <c r="B22" s="9"/>
      <c r="C22" s="31"/>
      <c r="D22" s="9"/>
    </row>
    <row r="23" spans="1:4" x14ac:dyDescent="0.25">
      <c r="A23" s="26"/>
      <c r="B23" s="9"/>
      <c r="C23" s="31"/>
      <c r="D23" s="9"/>
    </row>
    <row r="24" spans="1:4" x14ac:dyDescent="0.25">
      <c r="A24" s="26"/>
      <c r="B24" s="9"/>
      <c r="C24" s="31"/>
      <c r="D24" s="9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Database</vt:lpstr>
      <vt:lpstr>Dashboard</vt:lpstr>
      <vt:lpstr>Expenditure-July 26</vt:lpstr>
      <vt:lpstr>July Summary</vt:lpstr>
      <vt:lpstr>Expenditure-August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2026-08-03T07:27:55Z</cp:lastPrinted>
  <dcterms:created xsi:type="dcterms:W3CDTF">2026-07-20T11:05:24Z</dcterms:created>
  <dcterms:modified xsi:type="dcterms:W3CDTF">2026-08-09T06:26:40Z</dcterms:modified>
</cp:coreProperties>
</file>